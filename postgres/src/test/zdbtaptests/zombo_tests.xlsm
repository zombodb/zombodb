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465" windowWidth="19080" windowHeight="6075" tabRatio="500" activeTab="1"/>
  </bookViews>
  <sheets>
    <sheet name="SQL_stuff" sheetId="1" r:id="rId1"/>
    <sheet name="data" sheetId="2" r:id="rId2"/>
    <sheet name="var" sheetId="3" r:id="rId3"/>
    <sheet name="vol" sheetId="4" r:id="rId4"/>
  </sheet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K3" i="1" l="1"/>
  <c r="L3" i="1"/>
  <c r="M3" i="1"/>
  <c r="K4" i="1"/>
  <c r="L4" i="1"/>
  <c r="M4" i="1"/>
  <c r="K5" i="1"/>
  <c r="L5" i="1"/>
  <c r="M5" i="1"/>
  <c r="K6" i="1"/>
  <c r="L6" i="1"/>
  <c r="M6" i="1"/>
  <c r="K7" i="1"/>
  <c r="L7" i="1"/>
  <c r="M7" i="1"/>
  <c r="K8" i="1"/>
  <c r="L8" i="1"/>
  <c r="M8" i="1"/>
  <c r="K9" i="1"/>
  <c r="L9" i="1"/>
  <c r="M9" i="1"/>
  <c r="K10" i="1"/>
  <c r="L10" i="1"/>
  <c r="M10" i="1"/>
  <c r="K11" i="1"/>
  <c r="L11" i="1"/>
  <c r="M11" i="1"/>
  <c r="K12" i="1"/>
  <c r="L12" i="1"/>
  <c r="M12" i="1"/>
  <c r="K13" i="1"/>
  <c r="L13" i="1"/>
  <c r="M13" i="1"/>
  <c r="K14" i="1"/>
  <c r="L14" i="1"/>
  <c r="M14" i="1"/>
  <c r="K15" i="1"/>
  <c r="K16" i="1"/>
  <c r="K17" i="1"/>
  <c r="L17" i="1"/>
  <c r="M17" i="1"/>
  <c r="K18" i="1"/>
  <c r="L18" i="1"/>
  <c r="M18" i="1"/>
  <c r="K19" i="1"/>
  <c r="L19" i="1"/>
  <c r="M19" i="1"/>
  <c r="K20" i="1"/>
  <c r="L20" i="1"/>
  <c r="M20" i="1"/>
  <c r="K21" i="1"/>
  <c r="L21" i="1"/>
  <c r="M21" i="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M2" i="1"/>
  <c r="L2" i="1"/>
  <c r="K2" i="1"/>
  <c r="G3" i="1"/>
  <c r="H3" i="1"/>
  <c r="I3" i="1"/>
  <c r="G4" i="1"/>
  <c r="H4" i="1"/>
  <c r="I4" i="1"/>
  <c r="G5" i="1"/>
  <c r="H5" i="1"/>
  <c r="I5" i="1"/>
  <c r="G6" i="1"/>
  <c r="H6" i="1"/>
  <c r="I6" i="1"/>
  <c r="G7" i="1"/>
  <c r="H7" i="1"/>
  <c r="I7" i="1"/>
  <c r="G8" i="1"/>
  <c r="H8" i="1"/>
  <c r="I8" i="1"/>
  <c r="G9" i="1"/>
  <c r="H9" i="1"/>
  <c r="I9" i="1"/>
  <c r="G10" i="1"/>
  <c r="H10" i="1"/>
  <c r="I10" i="1"/>
  <c r="G11" i="1"/>
  <c r="H11" i="1"/>
  <c r="I11" i="1"/>
  <c r="G12" i="1"/>
  <c r="H12" i="1"/>
  <c r="I12" i="1"/>
  <c r="G13" i="1"/>
  <c r="H13" i="1"/>
  <c r="I13" i="1"/>
  <c r="G14" i="1"/>
  <c r="H14" i="1"/>
  <c r="I14" i="1"/>
  <c r="G15" i="1"/>
  <c r="G16" i="1"/>
  <c r="G17" i="1"/>
  <c r="H17" i="1"/>
  <c r="I17" i="1"/>
  <c r="G18" i="1"/>
  <c r="H18" i="1"/>
  <c r="I18" i="1"/>
  <c r="G19" i="1"/>
  <c r="H19" i="1"/>
  <c r="I19" i="1"/>
  <c r="G20" i="1"/>
  <c r="H20" i="1"/>
  <c r="I20" i="1"/>
  <c r="G21" i="1"/>
  <c r="H21" i="1"/>
  <c r="I21" i="1"/>
  <c r="G22" i="1"/>
  <c r="H22" i="1"/>
  <c r="I22" i="1"/>
  <c r="G23" i="1"/>
  <c r="H23" i="1"/>
  <c r="I23" i="1"/>
  <c r="G24" i="1"/>
  <c r="H24" i="1"/>
  <c r="I24" i="1"/>
  <c r="G25" i="1"/>
  <c r="H25" i="1"/>
  <c r="I25" i="1"/>
  <c r="G26" i="1"/>
  <c r="H26" i="1"/>
  <c r="I26" i="1"/>
  <c r="G27" i="1"/>
  <c r="H27" i="1"/>
  <c r="I27" i="1"/>
  <c r="G28" i="1"/>
  <c r="H28" i="1"/>
  <c r="I28" i="1"/>
  <c r="G29" i="1"/>
  <c r="H29" i="1"/>
  <c r="I29" i="1"/>
  <c r="G30" i="1"/>
  <c r="H30" i="1"/>
  <c r="I30" i="1"/>
  <c r="G31" i="1"/>
  <c r="H31" i="1"/>
  <c r="I31" i="1"/>
  <c r="G32" i="1"/>
  <c r="H32" i="1"/>
  <c r="I32" i="1"/>
  <c r="G33" i="1"/>
  <c r="H33" i="1"/>
  <c r="I33" i="1"/>
  <c r="G34" i="1"/>
  <c r="H34" i="1"/>
  <c r="I34" i="1"/>
  <c r="I2" i="1"/>
  <c r="H2" i="1"/>
  <c r="G2" i="1"/>
</calcChain>
</file>

<file path=xl/sharedStrings.xml><?xml version="1.0" encoding="utf-8"?>
<sst xmlns="http://schemas.openxmlformats.org/spreadsheetml/2006/main" count="879" uniqueCount="309">
  <si>
    <t>boolean</t>
  </si>
  <si>
    <t>char_1</t>
  </si>
  <si>
    <t>char_array_1</t>
  </si>
  <si>
    <t>varchar_1</t>
  </si>
  <si>
    <t>varchar_array_1</t>
  </si>
  <si>
    <t>int_1</t>
  </si>
  <si>
    <t>int_array_1</t>
  </si>
  <si>
    <t>bigint_1</t>
  </si>
  <si>
    <t>bigint_array_1</t>
  </si>
  <si>
    <t>text_1</t>
  </si>
  <si>
    <t>text_array_1</t>
  </si>
  <si>
    <t>date_1</t>
  </si>
  <si>
    <t>date_array_1</t>
  </si>
  <si>
    <t>phrase_1</t>
  </si>
  <si>
    <t>phrase</t>
  </si>
  <si>
    <t>phrase_array_1</t>
  </si>
  <si>
    <t>phrase_array</t>
  </si>
  <si>
    <t>full_text</t>
  </si>
  <si>
    <t>fulltext_with_shingles</t>
  </si>
  <si>
    <t>full_text_shingles</t>
  </si>
  <si>
    <t>fulltext</t>
  </si>
  <si>
    <t>timestamp</t>
  </si>
  <si>
    <t>json</t>
  </si>
  <si>
    <t>char_2</t>
  </si>
  <si>
    <t>char_array_2</t>
  </si>
  <si>
    <t>varchar_2</t>
  </si>
  <si>
    <t>varchar_array_2</t>
  </si>
  <si>
    <t>int_2</t>
  </si>
  <si>
    <t>int_array_2</t>
  </si>
  <si>
    <t>bigint_array_2</t>
  </si>
  <si>
    <t>text_array_2</t>
  </si>
  <si>
    <t>date_2</t>
  </si>
  <si>
    <t>date_array_2</t>
  </si>
  <si>
    <t>phrase_2</t>
  </si>
  <si>
    <t>phrase_array_2</t>
  </si>
  <si>
    <t>field_name</t>
  </si>
  <si>
    <t>field_type</t>
  </si>
  <si>
    <t>data</t>
  </si>
  <si>
    <t>var</t>
  </si>
  <si>
    <t>vol</t>
  </si>
  <si>
    <t>BIGINT</t>
  </si>
  <si>
    <t>BIGINT[]</t>
  </si>
  <si>
    <t>BOOLEAN</t>
  </si>
  <si>
    <t>DATE</t>
  </si>
  <si>
    <t>DATE[]</t>
  </si>
  <si>
    <t>INT</t>
  </si>
  <si>
    <t>INT[]</t>
  </si>
  <si>
    <t>JSON</t>
  </si>
  <si>
    <t>TEXT</t>
  </si>
  <si>
    <t>TEXT[]</t>
  </si>
  <si>
    <t>TIMESTAMP</t>
  </si>
  <si>
    <t>pk_var BIGINT</t>
  </si>
  <si>
    <t>pk_vol BIGINT</t>
  </si>
  <si>
    <t>text_filter</t>
  </si>
  <si>
    <t>bigint_expand_group</t>
  </si>
  <si>
    <t>CHAR(2)</t>
  </si>
  <si>
    <t>CHAR(2)[]</t>
  </si>
  <si>
    <t>VARCHAR(25)</t>
  </si>
  <si>
    <t>VARCHAR(25)[]</t>
  </si>
  <si>
    <t>pk_data BIGINT</t>
  </si>
  <si>
    <t>pk_data</t>
  </si>
  <si>
    <t>data_bigint_1</t>
  </si>
  <si>
    <t>data_bigint_expand_group</t>
  </si>
  <si>
    <t>data_bigint_array_1</t>
  </si>
  <si>
    <t>data_bigint_array_2</t>
  </si>
  <si>
    <t>data_boolean</t>
  </si>
  <si>
    <t>data_char_1</t>
  </si>
  <si>
    <t>data_char_2</t>
  </si>
  <si>
    <t>data_char_array_1</t>
  </si>
  <si>
    <t>data_char_array_2</t>
  </si>
  <si>
    <t>data_date_1</t>
  </si>
  <si>
    <t>data_date_2</t>
  </si>
  <si>
    <t>data_date_array_1</t>
  </si>
  <si>
    <t>data_date_array_2</t>
  </si>
  <si>
    <t>data_full_text</t>
  </si>
  <si>
    <t>data_full_text_shingles</t>
  </si>
  <si>
    <t>data_int_1</t>
  </si>
  <si>
    <t>data_int_2</t>
  </si>
  <si>
    <t>data_int_array_1</t>
  </si>
  <si>
    <t>data_int_array_2</t>
  </si>
  <si>
    <t>data_json</t>
  </si>
  <si>
    <t>data_phrase_1</t>
  </si>
  <si>
    <t>data_phrase_2</t>
  </si>
  <si>
    <t>data_phrase_array_1</t>
  </si>
  <si>
    <t>data_phrase_array_2</t>
  </si>
  <si>
    <t>data_text_1</t>
  </si>
  <si>
    <t>data_text_filter</t>
  </si>
  <si>
    <t>data_text_array_1</t>
  </si>
  <si>
    <t>data_text_array_2</t>
  </si>
  <si>
    <t>data_timestamp</t>
  </si>
  <si>
    <t>data_varchar_1</t>
  </si>
  <si>
    <t>data_varchar_2</t>
  </si>
  <si>
    <t>data_varchar_array_1</t>
  </si>
  <si>
    <t>data_varchar_array_2</t>
  </si>
  <si>
    <t>pk_var</t>
  </si>
  <si>
    <t>pk_vol</t>
  </si>
  <si>
    <t>var_bigint_1</t>
  </si>
  <si>
    <t>var_bigint_expand_group</t>
  </si>
  <si>
    <t>var_bigint_array_1</t>
  </si>
  <si>
    <t>var_bigint_array_2</t>
  </si>
  <si>
    <t>var_boolean</t>
  </si>
  <si>
    <t>var_char_1</t>
  </si>
  <si>
    <t>var_char_2</t>
  </si>
  <si>
    <t>var_char_array_1</t>
  </si>
  <si>
    <t>var_char_array_2</t>
  </si>
  <si>
    <t>var_date_1</t>
  </si>
  <si>
    <t>var_date_2</t>
  </si>
  <si>
    <t>var_date_array_1</t>
  </si>
  <si>
    <t>var_date_array_2</t>
  </si>
  <si>
    <t>var_int_1</t>
  </si>
  <si>
    <t>var_int_2</t>
  </si>
  <si>
    <t>var_int_array_1</t>
  </si>
  <si>
    <t>var_int_array_2</t>
  </si>
  <si>
    <t>var_json</t>
  </si>
  <si>
    <t>var_phrase_1</t>
  </si>
  <si>
    <t>var_phrase_2</t>
  </si>
  <si>
    <t>var_phrase_array_1</t>
  </si>
  <si>
    <t>var_phrase_array_2</t>
  </si>
  <si>
    <t>var_text_1</t>
  </si>
  <si>
    <t>var_text_filter</t>
  </si>
  <si>
    <t>var_text_array_1</t>
  </si>
  <si>
    <t>var_text_array_2</t>
  </si>
  <si>
    <t>var_timestamp</t>
  </si>
  <si>
    <t>var_varchar_1</t>
  </si>
  <si>
    <t>var_varchar_2</t>
  </si>
  <si>
    <t>var_varchar_array_1</t>
  </si>
  <si>
    <t>var_varchar_array_2</t>
  </si>
  <si>
    <t>vol_bigint_1</t>
  </si>
  <si>
    <t>vol_bigint_expand_group</t>
  </si>
  <si>
    <t>vol_bigint_array_1</t>
  </si>
  <si>
    <t>vol_bigint_array_2</t>
  </si>
  <si>
    <t>vol_boolean</t>
  </si>
  <si>
    <t>vol_char_1</t>
  </si>
  <si>
    <t>vol_char_2</t>
  </si>
  <si>
    <t>vol_char_array_1</t>
  </si>
  <si>
    <t>vol_char_array_2</t>
  </si>
  <si>
    <t>vol_date_1</t>
  </si>
  <si>
    <t>vol_date_2</t>
  </si>
  <si>
    <t>vol_date_array_1</t>
  </si>
  <si>
    <t>vol_date_array_2</t>
  </si>
  <si>
    <t>vol_int_1</t>
  </si>
  <si>
    <t>vol_int_2</t>
  </si>
  <si>
    <t>vol_int_array_1</t>
  </si>
  <si>
    <t>vol_int_array_2</t>
  </si>
  <si>
    <t>vol_json</t>
  </si>
  <si>
    <t>vol_phrase_1</t>
  </si>
  <si>
    <t>vol_phrase_2</t>
  </si>
  <si>
    <t>vol_phrase_array_1</t>
  </si>
  <si>
    <t>vol_phrase_array_2</t>
  </si>
  <si>
    <t>vol_text_1</t>
  </si>
  <si>
    <t>vol_text_filter</t>
  </si>
  <si>
    <t>vol_text_array_1</t>
  </si>
  <si>
    <t>vol_text_array_2</t>
  </si>
  <si>
    <t>vol_timestamp</t>
  </si>
  <si>
    <t>vol_varchar_1</t>
  </si>
  <si>
    <t>vol_varchar_2</t>
  </si>
  <si>
    <t>vol_varchar_array_1</t>
  </si>
  <si>
    <t>vol_varchar_array_2</t>
  </si>
  <si>
    <t>{1, 101, 1}</t>
  </si>
  <si>
    <t>{2, 102, 2}</t>
  </si>
  <si>
    <t>{3, 103, 1}</t>
  </si>
  <si>
    <t>{4, 104, 2}</t>
  </si>
  <si>
    <t>{5, 105, 1}</t>
  </si>
  <si>
    <t>{1, 2, 3, 4, 5}</t>
  </si>
  <si>
    <t>{1, 2, 3, 4}</t>
  </si>
  <si>
    <t>{1, 2, 3}</t>
  </si>
  <si>
    <t>{1, 2}</t>
  </si>
  <si>
    <t>{1}</t>
  </si>
  <si>
    <t>AA</t>
  </si>
  <si>
    <t>ZZ</t>
  </si>
  <si>
    <t>BB</t>
  </si>
  <si>
    <t>XX</t>
  </si>
  <si>
    <t>{AA, BB}</t>
  </si>
  <si>
    <t>{ZZ, XX}</t>
  </si>
  <si>
    <t>{CC, DD}</t>
  </si>
  <si>
    <t>{EE, FF}</t>
  </si>
  <si>
    <t>{20170102, 20170112}</t>
  </si>
  <si>
    <t>{20170101, 20170111}</t>
  </si>
  <si>
    <t>{20170103, 20170113}</t>
  </si>
  <si>
    <t>{20170104, 20170114}</t>
  </si>
  <si>
    <t>{20170105, 20170115}</t>
  </si>
  <si>
    <t>{6, 106, 3}</t>
  </si>
  <si>
    <t>BX</t>
  </si>
  <si>
    <t>{20170116}</t>
  </si>
  <si>
    <t>{20171224}</t>
  </si>
  <si>
    <t>{20171225}</t>
  </si>
  <si>
    <t>Chuck Norris once robbed a gun store with a knife.</t>
  </si>
  <si>
    <t>Chuck Norris once heard that nothing can kill him, so he tracked down nothing and killed it.</t>
  </si>
  <si>
    <t>The world did not have a tilt in its axis until Chuck Norris stubbed his toe on the North Pole.</t>
  </si>
  <si>
    <t>Chuck Norris makes fire by rubbing 2 ice cubes together.</t>
  </si>
  <si>
    <t>Chuck Norris abducts aliens.</t>
  </si>
  <si>
    <t>While other children were playing in sand, Chuck was playing in concrete.</t>
  </si>
  <si>
    <t>{4, 5, 6}</t>
  </si>
  <si>
    <t>{1, 4, 6}</t>
  </si>
  <si>
    <t>{4, 5}</t>
  </si>
  <si>
    <t>all work and no play makes jack a dull boy</t>
  </si>
  <si>
    <t>worker bees can leave even drones can fly away the queen is their slave</t>
  </si>
  <si>
    <t>jack of all trades master of none</t>
  </si>
  <si>
    <t>big bee chase me</t>
  </si>
  <si>
    <t>you don't know jack</t>
  </si>
  <si>
    <t>i need a 2 ton jack for my 1970 dodge super bee master cyclinder replacement</t>
  </si>
  <si>
    <t>{}</t>
  </si>
  <si>
    <t>[{"""animal""": """dogs""", """food""": """pizza"""}]</t>
  </si>
  <si>
    <t>[{"""animal""": """cats""", """food""": """quiche"""}]</t>
  </si>
  <si>
    <t>[{"""animal""": """dogs""", """food""": """quiche"""}]</t>
  </si>
  <si>
    <t>[{"""animal""": """cats""", """food""": """pizza"""}]</t>
  </si>
  <si>
    <t>raining cats and dogs</t>
  </si>
  <si>
    <t>a bird in the hand is worth two in the bush</t>
  </si>
  <si>
    <t>by hook or by crook</t>
  </si>
  <si>
    <t>sleep tight</t>
  </si>
  <si>
    <t>bob's your uncle</t>
  </si>
  <si>
    <t>as easy as pie</t>
  </si>
  <si>
    <t>{"Old Mother Hubbard", "Went to the cupboard", "To get her poor doggie a bone", "When she got there", "The cupboard was bare", "So the poor little doggie had none"}</t>
  </si>
  <si>
    <t>{"Little Jack Horner sat in the corner", "Eating his Christmas pie", "He put in his thumb and pulled out a plum", "And said What a good boy am I!"}</t>
  </si>
  <si>
    <t>{"Little Miss Muffet sat on a tuffet", "Eating her curds and whey", "Along came a spider", "Who sat down beside her", "And frightened Miss Muffet away"}</t>
  </si>
  <si>
    <t>{"Ring around the rosy", "A pocketful of posies", "Ashes Ashes",  "We all fall down"}</t>
  </si>
  <si>
    <t>{"Hush a bye baby on the tree top", "When the wind blows the cradle will rock", "When the bow breaks the cradle will fall", "And down will come baby cradle and all"}</t>
  </si>
  <si>
    <t>{"Hickory Dickory Dock", "The mouse ran up the clock", "The clock struck one", "The mouse ran down", "Hickory Dickory Dock"}</t>
  </si>
  <si>
    <t>{"A wise old owl lived in an oak", "The more he saw the less he spoke", "The less he spoke the more he heard", "Why can't we all be like that wise old bird"}</t>
  </si>
  <si>
    <t>{"Itsy Bitsy spider climbing up the spout", "Down came the rain and washed the spider out", "Out came the sun and dried up all the rain", "Now Itsy Bitsy spider went up the spout again!"}</t>
  </si>
  <si>
    <t>red</t>
  </si>
  <si>
    <t>green</t>
  </si>
  <si>
    <t>blue</t>
  </si>
  <si>
    <t>{alpha, bravo, charlie}</t>
  </si>
  <si>
    <t>{whiskey, tango, foxtrot}</t>
  </si>
  <si>
    <t>{apples, butter, charlie}</t>
  </si>
  <si>
    <t>{willie, tommy, freddy}</t>
  </si>
  <si>
    <t>2017-01-23 09:43:11</t>
  </si>
  <si>
    <t>2017-01-01 01:43:11</t>
  </si>
  <si>
    <t>2016-01-01 02:43:11</t>
  </si>
  <si>
    <t>2015-01-01 03:43:11</t>
  </si>
  <si>
    <t>2015-12-25 00:43:11</t>
  </si>
  <si>
    <t>2016-12-25 23:43:11</t>
  </si>
  <si>
    <t>jim</t>
  </si>
  <si>
    <t>brown</t>
  </si>
  <si>
    <t>walter</t>
  </si>
  <si>
    <t>payton</t>
  </si>
  <si>
    <t>manning</t>
  </si>
  <si>
    <t>joe</t>
  </si>
  <si>
    <t>montana</t>
  </si>
  <si>
    <t>jerry</t>
  </si>
  <si>
    <t>rice</t>
  </si>
  <si>
    <t>fred</t>
  </si>
  <si>
    <t>biletnikoff</t>
  </si>
  <si>
    <t>{milk, bread, yogurt}</t>
  </si>
  <si>
    <t>{bananas, apples, oranges}</t>
  </si>
  <si>
    <t>{bananas, yogurt, oranges}</t>
  </si>
  <si>
    <t>{nike, newbalance, adidas}</t>
  </si>
  <si>
    <t>{puma, asics, converse}</t>
  </si>
  <si>
    <t>{puma, nike, converse}</t>
  </si>
  <si>
    <t>{"Baa baa black sheep have you any wool?", "Yes sir yes sir three bags full!", "One for the master one for the dame", "And one for the little boy who lives down the lane."}</t>
  </si>
  <si>
    <t>{"Hey diddle diddle the cat and the fiddle", "The cow jumped over the moon.", "The little dog laughed to see such fun", "And the dish ran away with the spoon!"}</t>
  </si>
  <si>
    <t>{"Pat a cake Pat a cake baker's man", "Bake me a cake as fast as you can", "Pat it and prick it and mark it with a B", "And put it in the oven for Baby and me."}</t>
  </si>
  <si>
    <t>{"Peter Peter pumpkin eater", "Had a wife and couldn't keep her!", "He put her in a pumpkin shell", "And there he kept her very well!"}</t>
  </si>
  <si>
    <t>{8, 108, 3}</t>
  </si>
  <si>
    <t>{9, 109, 2}</t>
  </si>
  <si>
    <t>{10, 110, 1}</t>
  </si>
  <si>
    <t>{20170108, 20170118}</t>
  </si>
  <si>
    <t>{20170109, 20170119}</t>
  </si>
  <si>
    <t>{20170110}</t>
  </si>
  <si>
    <t>There once was a street called Chuck Norris, but the name was changed for public safety because nobody crosses Chuck Norris and lives.</t>
  </si>
  <si>
    <t>In space Chuck Norris can hear you scream.</t>
  </si>
  <si>
    <t>I never played jacks as a kid</t>
  </si>
  <si>
    <t>bees can smell fear</t>
  </si>
  <si>
    <t>SNL had killer bees</t>
  </si>
  <si>
    <t>the birds and the bees</t>
  </si>
  <si>
    <t>break a leg</t>
  </si>
  <si>
    <t>catch 22</t>
  </si>
  <si>
    <t>{"Rain rain go away", "Come again another day", "Little Johnny wants to play", "Rain rain go to Spain", "Never show your face again!"}</t>
  </si>
  <si>
    <t>{"Red sky at night", "Sailor's delight", "Red sky at morning", "Sailor's warning"}</t>
  </si>
  <si>
    <t>{"The North wind doth blow and we shall have snow", "And what will poor robin do then poor thing?", "He'll sit in a barn and keep himself warm", "and hide his head under his wing poor thing"}</t>
  </si>
  <si>
    <t>{"The Queen of Hearts she made some tarts all on a summer's day", "The Knave of Hearts he stole the tarts and took them clean away", "The King of Hearts called for the tarts and beat the Knave full sore", "The Knave of Hearts brought back the tarts and vowed he'd steal no more."}</t>
  </si>
  <si>
    <t>2014-01-01 02:43:11</t>
  </si>
  <si>
    <t>2011-01-01 03:43:11</t>
  </si>
  <si>
    <t>1988-01-01 03:43:11</t>
  </si>
  <si>
    <t>greene</t>
  </si>
  <si>
    <t>kevin</t>
  </si>
  <si>
    <t>peyton</t>
  </si>
  <si>
    <t>terry</t>
  </si>
  <si>
    <t>bradshaw</t>
  </si>
  <si>
    <t>{"The lion and the unicorn were fighting for the crown", "The lion beat the unicorn all around the town", "Some gave them white bread and some gave them brown", "Some gave them plum cake and drummed them out of town"}</t>
  </si>
  <si>
    <t>Chuck Norris threw a grenade and killed 50 people then it exploded.</t>
  </si>
  <si>
    <t>{"Star Light Star bright", "The first star I see tonight", "I wish I may I wish I might", "Have the wish I wish tonight"}</t>
  </si>
  <si>
    <t>A</t>
  </si>
  <si>
    <t>B</t>
  </si>
  <si>
    <t>C</t>
  </si>
  <si>
    <t>1A</t>
  </si>
  <si>
    <t>2B</t>
  </si>
  <si>
    <t>3C</t>
  </si>
  <si>
    <t>orange</t>
  </si>
  <si>
    <t>yellow</t>
  </si>
  <si>
    <t>purple</t>
  </si>
  <si>
    <t>pink</t>
  </si>
  <si>
    <t>indigo</t>
  </si>
  <si>
    <t>[{"""animal""": """frogs""", """food""": """apples"""}]</t>
  </si>
  <si>
    <t>[{"""animal""": """bats""", """food""": """hummus"""}]</t>
  </si>
  <si>
    <t>[{"""animal""": """snakes""", """food""": """beer"""}]</t>
  </si>
  <si>
    <t>[{"""animal""": """nats""", """food""": """guacamole"""}]</t>
  </si>
  <si>
    <t>NC</t>
  </si>
  <si>
    <t>SC</t>
  </si>
  <si>
    <t>VA</t>
  </si>
  <si>
    <t>TX</t>
  </si>
  <si>
    <t>TN</t>
  </si>
  <si>
    <t>OK</t>
  </si>
  <si>
    <t>XY</t>
  </si>
  <si>
    <t>YY</t>
  </si>
  <si>
    <t>AB</t>
  </si>
  <si>
    <t>BA</t>
  </si>
  <si>
    <t>[{"""animal""": """cats""", """food""": """pizza"""}, {"""animal""": """dogs""", """food""": """quiche"""}]</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</si>
</sst>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2"/>
      <color theme="1"/>
      <name val="Calibri"/>
      <family val="2"/>
      <scheme val="minor"/>
    </font>
    <font>
      <u/>
      <sz val="12"/>
      <color theme="10"/>
      <name val="Calibri"/>
      <family val="2"/>
      <scheme val="minor"/>
    </font>
    <font>
      <u/>
      <sz val="12"/>
      <color theme="11"/>
      <name val="Calibri"/>
      <family val="2"/>
      <scheme val="minor"/>
    </font>
    <font>
      <sz val="12"/>
      <color theme="1"/>
      <name val="Courier New"/>
      <family val="3"/>
    </font>
  </fonts>
  <fills count="2">
    <fill>
      <patternFill patternType="none"/>
    </fill>
    <fill>
      <patternFill patternType="gray125"/>
    </fill>
  </fills>
  <borders count="1">
    <border>
      <left/>
      <right/>
      <top/>
      <bottom/>
      <diagonal/>
    </border>
  </borders>
  <cellStyleXfs count="15">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4">
    <xf numFmtId="0" fontId="0" fillId="0" borderId="0" xfId="0"/>
    <xf numFmtId="0" fontId="3" fillId="0" borderId="0" xfId="0" applyFont="1"/>
    <xf numFmtId="0" fontId="3" fillId="0" borderId="0" xfId="0" applyFont="1" applyFill="1"/>
    <xf numFmtId="49" fontId="3" fillId="0" borderId="0" xfId="0" applyNumberFormat="1" applyFont="1"/>
  </cellXfs>
  <cellStyles count="1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34"/>
  <sheetViews>
    <sheetView workbookViewId="0">
      <selection activeCell="D3" sqref="D3"/>
    </sheetView>
  </sheetViews>
  <sheetFormatPr defaultColWidth="11" defaultRowHeight="15.75" x14ac:dyDescent="0.25"/>
  <cols>
    <col min="4" max="4" width="22.125" bestFit="1" customWidth="1"/>
    <col min="5" max="5" width="19" bestFit="1" customWidth="1"/>
    <col min="7" max="7" width="39.375" bestFit="1" customWidth="1"/>
    <col min="8" max="9" width="38.125" bestFit="1" customWidth="1"/>
    <col min="11" max="11" width="24" bestFit="1" customWidth="1"/>
    <col min="12" max="12" width="14.625" customWidth="1"/>
    <col min="13" max="13" width="12.125" bestFit="1" customWidth="1"/>
  </cols>
  <sheetData>
    <row r="1" spans="1:13" x14ac:dyDescent="0.25">
      <c r="D1" t="s">
        <v>35</v>
      </c>
      <c r="E1" t="s">
        <v>36</v>
      </c>
      <c r="G1" t="s">
        <v>59</v>
      </c>
      <c r="H1" t="s">
        <v>51</v>
      </c>
      <c r="I1" t="s">
        <v>52</v>
      </c>
      <c r="K1" t="s">
        <v>60</v>
      </c>
      <c r="L1" t="s">
        <v>94</v>
      </c>
      <c r="M1" t="s">
        <v>95</v>
      </c>
    </row>
    <row r="2" spans="1:13" x14ac:dyDescent="0.25">
      <c r="A2" t="s">
        <v>37</v>
      </c>
      <c r="B2" t="s">
        <v>38</v>
      </c>
      <c r="C2" t="s">
        <v>39</v>
      </c>
      <c r="D2" t="s">
        <v>7</v>
      </c>
      <c r="E2" t="s">
        <v>40</v>
      </c>
      <c r="G2" t="str">
        <f>", "&amp;TRIM(A2)&amp;"_"&amp;D2&amp;" "&amp;TRIM(E2)</f>
        <v>, data_bigint_1 BIGINT</v>
      </c>
      <c r="H2" t="str">
        <f>", "&amp;TRIM(B2)&amp;"_"&amp;D2&amp;" "&amp;TRIM(E2)</f>
        <v>, var_bigint_1 BIGINT</v>
      </c>
      <c r="I2" t="str">
        <f>", "&amp;TRIM(C2)&amp;"_"&amp;D2&amp;" "&amp;TRIM(E2)</f>
        <v>, vol_bigint_1 BIGINT</v>
      </c>
      <c r="K2" t="str">
        <f>", "&amp;TRIM(A2)&amp;"_"&amp;$D2</f>
        <v>, data_bigint_1</v>
      </c>
      <c r="L2" t="str">
        <f>", "&amp;TRIM(B2)&amp;"_"&amp;$D2</f>
        <v>, var_bigint_1</v>
      </c>
      <c r="M2" t="str">
        <f>", "&amp;TRIM(C2)&amp;"_"&amp;$D2</f>
        <v>, vol_bigint_1</v>
      </c>
    </row>
    <row r="3" spans="1:13" x14ac:dyDescent="0.25">
      <c r="A3" t="s">
        <v>37</v>
      </c>
      <c r="B3" t="s">
        <v>38</v>
      </c>
      <c r="C3" t="s">
        <v>39</v>
      </c>
      <c r="D3" t="s">
        <v>54</v>
      </c>
      <c r="E3" t="s">
        <v>40</v>
      </c>
      <c r="G3" t="str">
        <f t="shared" ref="G3:G34" si="0">", "&amp;TRIM(A3)&amp;"_"&amp;D3&amp;" "&amp;TRIM(E3)</f>
        <v>, data_bigint_expand_group BIGINT</v>
      </c>
      <c r="H3" t="str">
        <f t="shared" ref="H3:H34" si="1">", "&amp;TRIM(B3)&amp;"_"&amp;D3&amp;" "&amp;TRIM(E3)</f>
        <v>, var_bigint_expand_group BIGINT</v>
      </c>
      <c r="I3" t="str">
        <f t="shared" ref="I3:I34" si="2">", "&amp;TRIM(C3)&amp;"_"&amp;D3&amp;" "&amp;TRIM(E3)</f>
        <v>, vol_bigint_expand_group BIGINT</v>
      </c>
      <c r="K3" t="str">
        <f t="shared" ref="K3:K34" si="3">", "&amp;TRIM(A3)&amp;"_"&amp;$D3</f>
        <v>, data_bigint_expand_group</v>
      </c>
      <c r="L3" t="str">
        <f t="shared" ref="L3:L34" si="4">", "&amp;TRIM(B3)&amp;"_"&amp;$D3</f>
        <v>, var_bigint_expand_group</v>
      </c>
      <c r="M3" t="str">
        <f t="shared" ref="M3:M34" si="5">", "&amp;TRIM(C3)&amp;"_"&amp;$D3</f>
        <v>, vol_bigint_expand_group</v>
      </c>
    </row>
    <row r="4" spans="1:13" x14ac:dyDescent="0.25">
      <c r="A4" t="s">
        <v>37</v>
      </c>
      <c r="B4" t="s">
        <v>38</v>
      </c>
      <c r="C4" t="s">
        <v>39</v>
      </c>
      <c r="D4" t="s">
        <v>8</v>
      </c>
      <c r="E4" t="s">
        <v>41</v>
      </c>
      <c r="G4" t="str">
        <f t="shared" si="0"/>
        <v>, data_bigint_array_1 BIGINT[]</v>
      </c>
      <c r="H4" t="str">
        <f t="shared" si="1"/>
        <v>, var_bigint_array_1 BIGINT[]</v>
      </c>
      <c r="I4" t="str">
        <f t="shared" si="2"/>
        <v>, vol_bigint_array_1 BIGINT[]</v>
      </c>
      <c r="K4" t="str">
        <f t="shared" si="3"/>
        <v>, data_bigint_array_1</v>
      </c>
      <c r="L4" t="str">
        <f t="shared" si="4"/>
        <v>, var_bigint_array_1</v>
      </c>
      <c r="M4" t="str">
        <f t="shared" si="5"/>
        <v>, vol_bigint_array_1</v>
      </c>
    </row>
    <row r="5" spans="1:13" x14ac:dyDescent="0.25">
      <c r="A5" t="s">
        <v>37</v>
      </c>
      <c r="B5" t="s">
        <v>38</v>
      </c>
      <c r="C5" t="s">
        <v>39</v>
      </c>
      <c r="D5" t="s">
        <v>29</v>
      </c>
      <c r="E5" t="s">
        <v>41</v>
      </c>
      <c r="G5" t="str">
        <f t="shared" si="0"/>
        <v>, data_bigint_array_2 BIGINT[]</v>
      </c>
      <c r="H5" t="str">
        <f t="shared" si="1"/>
        <v>, var_bigint_array_2 BIGINT[]</v>
      </c>
      <c r="I5" t="str">
        <f t="shared" si="2"/>
        <v>, vol_bigint_array_2 BIGINT[]</v>
      </c>
      <c r="K5" t="str">
        <f t="shared" si="3"/>
        <v>, data_bigint_array_2</v>
      </c>
      <c r="L5" t="str">
        <f t="shared" si="4"/>
        <v>, var_bigint_array_2</v>
      </c>
      <c r="M5" t="str">
        <f t="shared" si="5"/>
        <v>, vol_bigint_array_2</v>
      </c>
    </row>
    <row r="6" spans="1:13" x14ac:dyDescent="0.25">
      <c r="A6" t="s">
        <v>37</v>
      </c>
      <c r="B6" t="s">
        <v>38</v>
      </c>
      <c r="C6" t="s">
        <v>39</v>
      </c>
      <c r="D6" t="s">
        <v>0</v>
      </c>
      <c r="E6" t="s">
        <v>42</v>
      </c>
      <c r="G6" t="str">
        <f t="shared" si="0"/>
        <v>, data_boolean BOOLEAN</v>
      </c>
      <c r="H6" t="str">
        <f t="shared" si="1"/>
        <v>, var_boolean BOOLEAN</v>
      </c>
      <c r="I6" t="str">
        <f t="shared" si="2"/>
        <v>, vol_boolean BOOLEAN</v>
      </c>
      <c r="K6" t="str">
        <f t="shared" si="3"/>
        <v>, data_boolean</v>
      </c>
      <c r="L6" t="str">
        <f t="shared" si="4"/>
        <v>, var_boolean</v>
      </c>
      <c r="M6" t="str">
        <f t="shared" si="5"/>
        <v>, vol_boolean</v>
      </c>
    </row>
    <row r="7" spans="1:13" x14ac:dyDescent="0.25">
      <c r="A7" t="s">
        <v>37</v>
      </c>
      <c r="B7" t="s">
        <v>38</v>
      </c>
      <c r="C7" t="s">
        <v>39</v>
      </c>
      <c r="D7" t="s">
        <v>1</v>
      </c>
      <c r="E7" t="s">
        <v>55</v>
      </c>
      <c r="G7" t="str">
        <f t="shared" si="0"/>
        <v>, data_char_1 CHAR(2)</v>
      </c>
      <c r="H7" t="str">
        <f t="shared" si="1"/>
        <v>, var_char_1 CHAR(2)</v>
      </c>
      <c r="I7" t="str">
        <f t="shared" si="2"/>
        <v>, vol_char_1 CHAR(2)</v>
      </c>
      <c r="K7" t="str">
        <f t="shared" si="3"/>
        <v>, data_char_1</v>
      </c>
      <c r="L7" t="str">
        <f t="shared" si="4"/>
        <v>, var_char_1</v>
      </c>
      <c r="M7" t="str">
        <f t="shared" si="5"/>
        <v>, vol_char_1</v>
      </c>
    </row>
    <row r="8" spans="1:13" x14ac:dyDescent="0.25">
      <c r="A8" t="s">
        <v>37</v>
      </c>
      <c r="B8" t="s">
        <v>38</v>
      </c>
      <c r="C8" t="s">
        <v>39</v>
      </c>
      <c r="D8" t="s">
        <v>23</v>
      </c>
      <c r="E8" t="s">
        <v>55</v>
      </c>
      <c r="G8" t="str">
        <f t="shared" si="0"/>
        <v>, data_char_2 CHAR(2)</v>
      </c>
      <c r="H8" t="str">
        <f t="shared" si="1"/>
        <v>, var_char_2 CHAR(2)</v>
      </c>
      <c r="I8" t="str">
        <f t="shared" si="2"/>
        <v>, vol_char_2 CHAR(2)</v>
      </c>
      <c r="K8" t="str">
        <f t="shared" si="3"/>
        <v>, data_char_2</v>
      </c>
      <c r="L8" t="str">
        <f t="shared" si="4"/>
        <v>, var_char_2</v>
      </c>
      <c r="M8" t="str">
        <f t="shared" si="5"/>
        <v>, vol_char_2</v>
      </c>
    </row>
    <row r="9" spans="1:13" x14ac:dyDescent="0.25">
      <c r="A9" t="s">
        <v>37</v>
      </c>
      <c r="B9" t="s">
        <v>38</v>
      </c>
      <c r="C9" t="s">
        <v>39</v>
      </c>
      <c r="D9" t="s">
        <v>2</v>
      </c>
      <c r="E9" t="s">
        <v>56</v>
      </c>
      <c r="G9" t="str">
        <f t="shared" si="0"/>
        <v>, data_char_array_1 CHAR(2)[]</v>
      </c>
      <c r="H9" t="str">
        <f t="shared" si="1"/>
        <v>, var_char_array_1 CHAR(2)[]</v>
      </c>
      <c r="I9" t="str">
        <f t="shared" si="2"/>
        <v>, vol_char_array_1 CHAR(2)[]</v>
      </c>
      <c r="K9" t="str">
        <f t="shared" si="3"/>
        <v>, data_char_array_1</v>
      </c>
      <c r="L9" t="str">
        <f t="shared" si="4"/>
        <v>, var_char_array_1</v>
      </c>
      <c r="M9" t="str">
        <f t="shared" si="5"/>
        <v>, vol_char_array_1</v>
      </c>
    </row>
    <row r="10" spans="1:13" x14ac:dyDescent="0.25">
      <c r="A10" t="s">
        <v>37</v>
      </c>
      <c r="B10" t="s">
        <v>38</v>
      </c>
      <c r="C10" t="s">
        <v>39</v>
      </c>
      <c r="D10" t="s">
        <v>24</v>
      </c>
      <c r="E10" t="s">
        <v>56</v>
      </c>
      <c r="G10" t="str">
        <f t="shared" si="0"/>
        <v>, data_char_array_2 CHAR(2)[]</v>
      </c>
      <c r="H10" t="str">
        <f t="shared" si="1"/>
        <v>, var_char_array_2 CHAR(2)[]</v>
      </c>
      <c r="I10" t="str">
        <f t="shared" si="2"/>
        <v>, vol_char_array_2 CHAR(2)[]</v>
      </c>
      <c r="K10" t="str">
        <f t="shared" si="3"/>
        <v>, data_char_array_2</v>
      </c>
      <c r="L10" t="str">
        <f t="shared" si="4"/>
        <v>, var_char_array_2</v>
      </c>
      <c r="M10" t="str">
        <f t="shared" si="5"/>
        <v>, vol_char_array_2</v>
      </c>
    </row>
    <row r="11" spans="1:13" x14ac:dyDescent="0.25">
      <c r="A11" t="s">
        <v>37</v>
      </c>
      <c r="B11" t="s">
        <v>38</v>
      </c>
      <c r="C11" t="s">
        <v>39</v>
      </c>
      <c r="D11" t="s">
        <v>11</v>
      </c>
      <c r="E11" t="s">
        <v>43</v>
      </c>
      <c r="G11" t="str">
        <f t="shared" si="0"/>
        <v>, data_date_1 DATE</v>
      </c>
      <c r="H11" t="str">
        <f t="shared" si="1"/>
        <v>, var_date_1 DATE</v>
      </c>
      <c r="I11" t="str">
        <f t="shared" si="2"/>
        <v>, vol_date_1 DATE</v>
      </c>
      <c r="K11" t="str">
        <f t="shared" si="3"/>
        <v>, data_date_1</v>
      </c>
      <c r="L11" t="str">
        <f t="shared" si="4"/>
        <v>, var_date_1</v>
      </c>
      <c r="M11" t="str">
        <f t="shared" si="5"/>
        <v>, vol_date_1</v>
      </c>
    </row>
    <row r="12" spans="1:13" x14ac:dyDescent="0.25">
      <c r="A12" t="s">
        <v>37</v>
      </c>
      <c r="B12" t="s">
        <v>38</v>
      </c>
      <c r="C12" t="s">
        <v>39</v>
      </c>
      <c r="D12" t="s">
        <v>31</v>
      </c>
      <c r="E12" t="s">
        <v>43</v>
      </c>
      <c r="G12" t="str">
        <f t="shared" si="0"/>
        <v>, data_date_2 DATE</v>
      </c>
      <c r="H12" t="str">
        <f t="shared" si="1"/>
        <v>, var_date_2 DATE</v>
      </c>
      <c r="I12" t="str">
        <f t="shared" si="2"/>
        <v>, vol_date_2 DATE</v>
      </c>
      <c r="K12" t="str">
        <f t="shared" si="3"/>
        <v>, data_date_2</v>
      </c>
      <c r="L12" t="str">
        <f t="shared" si="4"/>
        <v>, var_date_2</v>
      </c>
      <c r="M12" t="str">
        <f t="shared" si="5"/>
        <v>, vol_date_2</v>
      </c>
    </row>
    <row r="13" spans="1:13" x14ac:dyDescent="0.25">
      <c r="A13" t="s">
        <v>37</v>
      </c>
      <c r="B13" t="s">
        <v>38</v>
      </c>
      <c r="C13" t="s">
        <v>39</v>
      </c>
      <c r="D13" t="s">
        <v>12</v>
      </c>
      <c r="E13" t="s">
        <v>44</v>
      </c>
      <c r="G13" t="str">
        <f t="shared" si="0"/>
        <v>, data_date_array_1 DATE[]</v>
      </c>
      <c r="H13" t="str">
        <f t="shared" si="1"/>
        <v>, var_date_array_1 DATE[]</v>
      </c>
      <c r="I13" t="str">
        <f t="shared" si="2"/>
        <v>, vol_date_array_1 DATE[]</v>
      </c>
      <c r="K13" t="str">
        <f t="shared" si="3"/>
        <v>, data_date_array_1</v>
      </c>
      <c r="L13" t="str">
        <f t="shared" si="4"/>
        <v>, var_date_array_1</v>
      </c>
      <c r="M13" t="str">
        <f t="shared" si="5"/>
        <v>, vol_date_array_1</v>
      </c>
    </row>
    <row r="14" spans="1:13" x14ac:dyDescent="0.25">
      <c r="A14" t="s">
        <v>37</v>
      </c>
      <c r="B14" t="s">
        <v>38</v>
      </c>
      <c r="C14" t="s">
        <v>39</v>
      </c>
      <c r="D14" t="s">
        <v>32</v>
      </c>
      <c r="E14" t="s">
        <v>44</v>
      </c>
      <c r="G14" t="str">
        <f t="shared" si="0"/>
        <v>, data_date_array_2 DATE[]</v>
      </c>
      <c r="H14" t="str">
        <f t="shared" si="1"/>
        <v>, var_date_array_2 DATE[]</v>
      </c>
      <c r="I14" t="str">
        <f t="shared" si="2"/>
        <v>, vol_date_array_2 DATE[]</v>
      </c>
      <c r="K14" t="str">
        <f t="shared" si="3"/>
        <v>, data_date_array_2</v>
      </c>
      <c r="L14" t="str">
        <f t="shared" si="4"/>
        <v>, var_date_array_2</v>
      </c>
      <c r="M14" t="str">
        <f t="shared" si="5"/>
        <v>, vol_date_array_2</v>
      </c>
    </row>
    <row r="15" spans="1:13" x14ac:dyDescent="0.25">
      <c r="A15" t="s">
        <v>37</v>
      </c>
      <c r="B15" t="s">
        <v>38</v>
      </c>
      <c r="C15" t="s">
        <v>39</v>
      </c>
      <c r="D15" t="s">
        <v>17</v>
      </c>
      <c r="E15" t="s">
        <v>20</v>
      </c>
      <c r="G15" t="str">
        <f t="shared" si="0"/>
        <v>, data_full_text fulltext</v>
      </c>
      <c r="K15" t="str">
        <f t="shared" si="3"/>
        <v>, data_full_text</v>
      </c>
    </row>
    <row r="16" spans="1:13" x14ac:dyDescent="0.25">
      <c r="A16" t="s">
        <v>37</v>
      </c>
      <c r="B16" t="s">
        <v>38</v>
      </c>
      <c r="C16" t="s">
        <v>39</v>
      </c>
      <c r="D16" t="s">
        <v>19</v>
      </c>
      <c r="E16" t="s">
        <v>18</v>
      </c>
      <c r="G16" t="str">
        <f t="shared" si="0"/>
        <v>, data_full_text_shingles fulltext_with_shingles</v>
      </c>
      <c r="K16" t="str">
        <f t="shared" si="3"/>
        <v>, data_full_text_shingles</v>
      </c>
    </row>
    <row r="17" spans="1:13" x14ac:dyDescent="0.25">
      <c r="A17" t="s">
        <v>37</v>
      </c>
      <c r="B17" t="s">
        <v>38</v>
      </c>
      <c r="C17" t="s">
        <v>39</v>
      </c>
      <c r="D17" t="s">
        <v>5</v>
      </c>
      <c r="E17" t="s">
        <v>45</v>
      </c>
      <c r="G17" t="str">
        <f t="shared" si="0"/>
        <v>, data_int_1 INT</v>
      </c>
      <c r="H17" t="str">
        <f t="shared" si="1"/>
        <v>, var_int_1 INT</v>
      </c>
      <c r="I17" t="str">
        <f t="shared" si="2"/>
        <v>, vol_int_1 INT</v>
      </c>
      <c r="K17" t="str">
        <f t="shared" si="3"/>
        <v>, data_int_1</v>
      </c>
      <c r="L17" t="str">
        <f t="shared" si="4"/>
        <v>, var_int_1</v>
      </c>
      <c r="M17" t="str">
        <f t="shared" si="5"/>
        <v>, vol_int_1</v>
      </c>
    </row>
    <row r="18" spans="1:13" x14ac:dyDescent="0.25">
      <c r="A18" t="s">
        <v>37</v>
      </c>
      <c r="B18" t="s">
        <v>38</v>
      </c>
      <c r="C18" t="s">
        <v>39</v>
      </c>
      <c r="D18" t="s">
        <v>27</v>
      </c>
      <c r="E18" t="s">
        <v>45</v>
      </c>
      <c r="G18" t="str">
        <f t="shared" si="0"/>
        <v>, data_int_2 INT</v>
      </c>
      <c r="H18" t="str">
        <f t="shared" si="1"/>
        <v>, var_int_2 INT</v>
      </c>
      <c r="I18" t="str">
        <f t="shared" si="2"/>
        <v>, vol_int_2 INT</v>
      </c>
      <c r="K18" t="str">
        <f t="shared" si="3"/>
        <v>, data_int_2</v>
      </c>
      <c r="L18" t="str">
        <f t="shared" si="4"/>
        <v>, var_int_2</v>
      </c>
      <c r="M18" t="str">
        <f t="shared" si="5"/>
        <v>, vol_int_2</v>
      </c>
    </row>
    <row r="19" spans="1:13" x14ac:dyDescent="0.25">
      <c r="A19" t="s">
        <v>37</v>
      </c>
      <c r="B19" t="s">
        <v>38</v>
      </c>
      <c r="C19" t="s">
        <v>39</v>
      </c>
      <c r="D19" t="s">
        <v>6</v>
      </c>
      <c r="E19" t="s">
        <v>46</v>
      </c>
      <c r="G19" t="str">
        <f t="shared" si="0"/>
        <v>, data_int_array_1 INT[]</v>
      </c>
      <c r="H19" t="str">
        <f t="shared" si="1"/>
        <v>, var_int_array_1 INT[]</v>
      </c>
      <c r="I19" t="str">
        <f t="shared" si="2"/>
        <v>, vol_int_array_1 INT[]</v>
      </c>
      <c r="K19" t="str">
        <f t="shared" si="3"/>
        <v>, data_int_array_1</v>
      </c>
      <c r="L19" t="str">
        <f t="shared" si="4"/>
        <v>, var_int_array_1</v>
      </c>
      <c r="M19" t="str">
        <f t="shared" si="5"/>
        <v>, vol_int_array_1</v>
      </c>
    </row>
    <row r="20" spans="1:13" x14ac:dyDescent="0.25">
      <c r="A20" t="s">
        <v>37</v>
      </c>
      <c r="B20" t="s">
        <v>38</v>
      </c>
      <c r="C20" t="s">
        <v>39</v>
      </c>
      <c r="D20" t="s">
        <v>28</v>
      </c>
      <c r="E20" t="s">
        <v>46</v>
      </c>
      <c r="G20" t="str">
        <f t="shared" si="0"/>
        <v>, data_int_array_2 INT[]</v>
      </c>
      <c r="H20" t="str">
        <f t="shared" si="1"/>
        <v>, var_int_array_2 INT[]</v>
      </c>
      <c r="I20" t="str">
        <f t="shared" si="2"/>
        <v>, vol_int_array_2 INT[]</v>
      </c>
      <c r="K20" t="str">
        <f t="shared" si="3"/>
        <v>, data_int_array_2</v>
      </c>
      <c r="L20" t="str">
        <f t="shared" si="4"/>
        <v>, var_int_array_2</v>
      </c>
      <c r="M20" t="str">
        <f t="shared" si="5"/>
        <v>, vol_int_array_2</v>
      </c>
    </row>
    <row r="21" spans="1:13" x14ac:dyDescent="0.25">
      <c r="A21" t="s">
        <v>37</v>
      </c>
      <c r="B21" t="s">
        <v>38</v>
      </c>
      <c r="C21" t="s">
        <v>39</v>
      </c>
      <c r="D21" t="s">
        <v>22</v>
      </c>
      <c r="E21" t="s">
        <v>47</v>
      </c>
      <c r="G21" t="str">
        <f t="shared" si="0"/>
        <v>, data_json JSON</v>
      </c>
      <c r="H21" t="str">
        <f t="shared" si="1"/>
        <v>, var_json JSON</v>
      </c>
      <c r="I21" t="str">
        <f t="shared" si="2"/>
        <v>, vol_json JSON</v>
      </c>
      <c r="K21" t="str">
        <f t="shared" si="3"/>
        <v>, data_json</v>
      </c>
      <c r="L21" t="str">
        <f t="shared" si="4"/>
        <v>, var_json</v>
      </c>
      <c r="M21" t="str">
        <f t="shared" si="5"/>
        <v>, vol_json</v>
      </c>
    </row>
    <row r="22" spans="1:13" x14ac:dyDescent="0.25">
      <c r="A22" t="s">
        <v>37</v>
      </c>
      <c r="B22" t="s">
        <v>38</v>
      </c>
      <c r="C22" t="s">
        <v>39</v>
      </c>
      <c r="D22" t="s">
        <v>13</v>
      </c>
      <c r="E22" t="s">
        <v>14</v>
      </c>
      <c r="G22" t="str">
        <f t="shared" si="0"/>
        <v>, data_phrase_1 phrase</v>
      </c>
      <c r="H22" t="str">
        <f t="shared" si="1"/>
        <v>, var_phrase_1 phrase</v>
      </c>
      <c r="I22" t="str">
        <f t="shared" si="2"/>
        <v>, vol_phrase_1 phrase</v>
      </c>
      <c r="K22" t="str">
        <f t="shared" si="3"/>
        <v>, data_phrase_1</v>
      </c>
      <c r="L22" t="str">
        <f t="shared" si="4"/>
        <v>, var_phrase_1</v>
      </c>
      <c r="M22" t="str">
        <f t="shared" si="5"/>
        <v>, vol_phrase_1</v>
      </c>
    </row>
    <row r="23" spans="1:13" x14ac:dyDescent="0.25">
      <c r="A23" t="s">
        <v>37</v>
      </c>
      <c r="B23" t="s">
        <v>38</v>
      </c>
      <c r="C23" t="s">
        <v>39</v>
      </c>
      <c r="D23" t="s">
        <v>33</v>
      </c>
      <c r="E23" t="s">
        <v>14</v>
      </c>
      <c r="G23" t="str">
        <f t="shared" si="0"/>
        <v>, data_phrase_2 phrase</v>
      </c>
      <c r="H23" t="str">
        <f t="shared" si="1"/>
        <v>, var_phrase_2 phrase</v>
      </c>
      <c r="I23" t="str">
        <f t="shared" si="2"/>
        <v>, vol_phrase_2 phrase</v>
      </c>
      <c r="K23" t="str">
        <f t="shared" si="3"/>
        <v>, data_phrase_2</v>
      </c>
      <c r="L23" t="str">
        <f t="shared" si="4"/>
        <v>, var_phrase_2</v>
      </c>
      <c r="M23" t="str">
        <f t="shared" si="5"/>
        <v>, vol_phrase_2</v>
      </c>
    </row>
    <row r="24" spans="1:13" x14ac:dyDescent="0.25">
      <c r="A24" t="s">
        <v>37</v>
      </c>
      <c r="B24" t="s">
        <v>38</v>
      </c>
      <c r="C24" t="s">
        <v>39</v>
      </c>
      <c r="D24" t="s">
        <v>15</v>
      </c>
      <c r="E24" t="s">
        <v>16</v>
      </c>
      <c r="G24" t="str">
        <f t="shared" si="0"/>
        <v>, data_phrase_array_1 phrase_array</v>
      </c>
      <c r="H24" t="str">
        <f t="shared" si="1"/>
        <v>, var_phrase_array_1 phrase_array</v>
      </c>
      <c r="I24" t="str">
        <f t="shared" si="2"/>
        <v>, vol_phrase_array_1 phrase_array</v>
      </c>
      <c r="K24" t="str">
        <f t="shared" si="3"/>
        <v>, data_phrase_array_1</v>
      </c>
      <c r="L24" t="str">
        <f t="shared" si="4"/>
        <v>, var_phrase_array_1</v>
      </c>
      <c r="M24" t="str">
        <f t="shared" si="5"/>
        <v>, vol_phrase_array_1</v>
      </c>
    </row>
    <row r="25" spans="1:13" x14ac:dyDescent="0.25">
      <c r="A25" t="s">
        <v>37</v>
      </c>
      <c r="B25" t="s">
        <v>38</v>
      </c>
      <c r="C25" t="s">
        <v>39</v>
      </c>
      <c r="D25" t="s">
        <v>34</v>
      </c>
      <c r="E25" t="s">
        <v>16</v>
      </c>
      <c r="G25" t="str">
        <f t="shared" si="0"/>
        <v>, data_phrase_array_2 phrase_array</v>
      </c>
      <c r="H25" t="str">
        <f t="shared" si="1"/>
        <v>, var_phrase_array_2 phrase_array</v>
      </c>
      <c r="I25" t="str">
        <f t="shared" si="2"/>
        <v>, vol_phrase_array_2 phrase_array</v>
      </c>
      <c r="K25" t="str">
        <f t="shared" si="3"/>
        <v>, data_phrase_array_2</v>
      </c>
      <c r="L25" t="str">
        <f t="shared" si="4"/>
        <v>, var_phrase_array_2</v>
      </c>
      <c r="M25" t="str">
        <f t="shared" si="5"/>
        <v>, vol_phrase_array_2</v>
      </c>
    </row>
    <row r="26" spans="1:13" x14ac:dyDescent="0.25">
      <c r="A26" t="s">
        <v>37</v>
      </c>
      <c r="B26" t="s">
        <v>38</v>
      </c>
      <c r="C26" t="s">
        <v>39</v>
      </c>
      <c r="D26" t="s">
        <v>9</v>
      </c>
      <c r="E26" t="s">
        <v>48</v>
      </c>
      <c r="G26" t="str">
        <f t="shared" si="0"/>
        <v>, data_text_1 TEXT</v>
      </c>
      <c r="H26" t="str">
        <f t="shared" si="1"/>
        <v>, var_text_1 TEXT</v>
      </c>
      <c r="I26" t="str">
        <f t="shared" si="2"/>
        <v>, vol_text_1 TEXT</v>
      </c>
      <c r="K26" t="str">
        <f t="shared" si="3"/>
        <v>, data_text_1</v>
      </c>
      <c r="L26" t="str">
        <f t="shared" si="4"/>
        <v>, var_text_1</v>
      </c>
      <c r="M26" t="str">
        <f t="shared" si="5"/>
        <v>, vol_text_1</v>
      </c>
    </row>
    <row r="27" spans="1:13" x14ac:dyDescent="0.25">
      <c r="A27" t="s">
        <v>37</v>
      </c>
      <c r="B27" t="s">
        <v>38</v>
      </c>
      <c r="C27" t="s">
        <v>39</v>
      </c>
      <c r="D27" t="s">
        <v>53</v>
      </c>
      <c r="E27" t="s">
        <v>48</v>
      </c>
      <c r="G27" t="str">
        <f t="shared" si="0"/>
        <v>, data_text_filter TEXT</v>
      </c>
      <c r="H27" t="str">
        <f t="shared" si="1"/>
        <v>, var_text_filter TEXT</v>
      </c>
      <c r="I27" t="str">
        <f t="shared" si="2"/>
        <v>, vol_text_filter TEXT</v>
      </c>
      <c r="K27" t="str">
        <f t="shared" si="3"/>
        <v>, data_text_filter</v>
      </c>
      <c r="L27" t="str">
        <f t="shared" si="4"/>
        <v>, var_text_filter</v>
      </c>
      <c r="M27" t="str">
        <f t="shared" si="5"/>
        <v>, vol_text_filter</v>
      </c>
    </row>
    <row r="28" spans="1:13" x14ac:dyDescent="0.25">
      <c r="A28" t="s">
        <v>37</v>
      </c>
      <c r="B28" t="s">
        <v>38</v>
      </c>
      <c r="C28" t="s">
        <v>39</v>
      </c>
      <c r="D28" t="s">
        <v>10</v>
      </c>
      <c r="E28" t="s">
        <v>49</v>
      </c>
      <c r="G28" t="str">
        <f t="shared" si="0"/>
        <v>, data_text_array_1 TEXT[]</v>
      </c>
      <c r="H28" t="str">
        <f t="shared" si="1"/>
        <v>, var_text_array_1 TEXT[]</v>
      </c>
      <c r="I28" t="str">
        <f t="shared" si="2"/>
        <v>, vol_text_array_1 TEXT[]</v>
      </c>
      <c r="K28" t="str">
        <f t="shared" si="3"/>
        <v>, data_text_array_1</v>
      </c>
      <c r="L28" t="str">
        <f t="shared" si="4"/>
        <v>, var_text_array_1</v>
      </c>
      <c r="M28" t="str">
        <f t="shared" si="5"/>
        <v>, vol_text_array_1</v>
      </c>
    </row>
    <row r="29" spans="1:13" x14ac:dyDescent="0.25">
      <c r="A29" t="s">
        <v>37</v>
      </c>
      <c r="B29" t="s">
        <v>38</v>
      </c>
      <c r="C29" t="s">
        <v>39</v>
      </c>
      <c r="D29" t="s">
        <v>30</v>
      </c>
      <c r="E29" t="s">
        <v>49</v>
      </c>
      <c r="G29" t="str">
        <f t="shared" si="0"/>
        <v>, data_text_array_2 TEXT[]</v>
      </c>
      <c r="H29" t="str">
        <f t="shared" si="1"/>
        <v>, var_text_array_2 TEXT[]</v>
      </c>
      <c r="I29" t="str">
        <f t="shared" si="2"/>
        <v>, vol_text_array_2 TEXT[]</v>
      </c>
      <c r="K29" t="str">
        <f t="shared" si="3"/>
        <v>, data_text_array_2</v>
      </c>
      <c r="L29" t="str">
        <f t="shared" si="4"/>
        <v>, var_text_array_2</v>
      </c>
      <c r="M29" t="str">
        <f t="shared" si="5"/>
        <v>, vol_text_array_2</v>
      </c>
    </row>
    <row r="30" spans="1:13" x14ac:dyDescent="0.25">
      <c r="A30" t="s">
        <v>37</v>
      </c>
      <c r="B30" t="s">
        <v>38</v>
      </c>
      <c r="C30" t="s">
        <v>39</v>
      </c>
      <c r="D30" t="s">
        <v>21</v>
      </c>
      <c r="E30" t="s">
        <v>50</v>
      </c>
      <c r="G30" t="str">
        <f t="shared" si="0"/>
        <v>, data_timestamp TIMESTAMP</v>
      </c>
      <c r="H30" t="str">
        <f t="shared" si="1"/>
        <v>, var_timestamp TIMESTAMP</v>
      </c>
      <c r="I30" t="str">
        <f t="shared" si="2"/>
        <v>, vol_timestamp TIMESTAMP</v>
      </c>
      <c r="K30" t="str">
        <f t="shared" si="3"/>
        <v>, data_timestamp</v>
      </c>
      <c r="L30" t="str">
        <f t="shared" si="4"/>
        <v>, var_timestamp</v>
      </c>
      <c r="M30" t="str">
        <f t="shared" si="5"/>
        <v>, vol_timestamp</v>
      </c>
    </row>
    <row r="31" spans="1:13" x14ac:dyDescent="0.25">
      <c r="A31" t="s">
        <v>37</v>
      </c>
      <c r="B31" t="s">
        <v>38</v>
      </c>
      <c r="C31" t="s">
        <v>39</v>
      </c>
      <c r="D31" t="s">
        <v>3</v>
      </c>
      <c r="E31" t="s">
        <v>57</v>
      </c>
      <c r="G31" t="str">
        <f t="shared" si="0"/>
        <v>, data_varchar_1 VARCHAR(25)</v>
      </c>
      <c r="H31" t="str">
        <f t="shared" si="1"/>
        <v>, var_varchar_1 VARCHAR(25)</v>
      </c>
      <c r="I31" t="str">
        <f t="shared" si="2"/>
        <v>, vol_varchar_1 VARCHAR(25)</v>
      </c>
      <c r="K31" t="str">
        <f t="shared" si="3"/>
        <v>, data_varchar_1</v>
      </c>
      <c r="L31" t="str">
        <f t="shared" si="4"/>
        <v>, var_varchar_1</v>
      </c>
      <c r="M31" t="str">
        <f t="shared" si="5"/>
        <v>, vol_varchar_1</v>
      </c>
    </row>
    <row r="32" spans="1:13" x14ac:dyDescent="0.25">
      <c r="A32" t="s">
        <v>37</v>
      </c>
      <c r="B32" t="s">
        <v>38</v>
      </c>
      <c r="C32" t="s">
        <v>39</v>
      </c>
      <c r="D32" t="s">
        <v>25</v>
      </c>
      <c r="E32" t="s">
        <v>57</v>
      </c>
      <c r="G32" t="str">
        <f t="shared" si="0"/>
        <v>, data_varchar_2 VARCHAR(25)</v>
      </c>
      <c r="H32" t="str">
        <f t="shared" si="1"/>
        <v>, var_varchar_2 VARCHAR(25)</v>
      </c>
      <c r="I32" t="str">
        <f t="shared" si="2"/>
        <v>, vol_varchar_2 VARCHAR(25)</v>
      </c>
      <c r="K32" t="str">
        <f t="shared" si="3"/>
        <v>, data_varchar_2</v>
      </c>
      <c r="L32" t="str">
        <f t="shared" si="4"/>
        <v>, var_varchar_2</v>
      </c>
      <c r="M32" t="str">
        <f t="shared" si="5"/>
        <v>, vol_varchar_2</v>
      </c>
    </row>
    <row r="33" spans="1:13" x14ac:dyDescent="0.25">
      <c r="A33" t="s">
        <v>37</v>
      </c>
      <c r="B33" t="s">
        <v>38</v>
      </c>
      <c r="C33" t="s">
        <v>39</v>
      </c>
      <c r="D33" t="s">
        <v>4</v>
      </c>
      <c r="E33" t="s">
        <v>58</v>
      </c>
      <c r="G33" t="str">
        <f t="shared" si="0"/>
        <v>, data_varchar_array_1 VARCHAR(25)[]</v>
      </c>
      <c r="H33" t="str">
        <f t="shared" si="1"/>
        <v>, var_varchar_array_1 VARCHAR(25)[]</v>
      </c>
      <c r="I33" t="str">
        <f t="shared" si="2"/>
        <v>, vol_varchar_array_1 VARCHAR(25)[]</v>
      </c>
      <c r="K33" t="str">
        <f t="shared" si="3"/>
        <v>, data_varchar_array_1</v>
      </c>
      <c r="L33" t="str">
        <f t="shared" si="4"/>
        <v>, var_varchar_array_1</v>
      </c>
      <c r="M33" t="str">
        <f t="shared" si="5"/>
        <v>, vol_varchar_array_1</v>
      </c>
    </row>
    <row r="34" spans="1:13" x14ac:dyDescent="0.25">
      <c r="A34" t="s">
        <v>37</v>
      </c>
      <c r="B34" t="s">
        <v>38</v>
      </c>
      <c r="C34" t="s">
        <v>39</v>
      </c>
      <c r="D34" t="s">
        <v>26</v>
      </c>
      <c r="E34" t="s">
        <v>58</v>
      </c>
      <c r="G34" t="str">
        <f t="shared" si="0"/>
        <v>, data_varchar_array_2 VARCHAR(25)[]</v>
      </c>
      <c r="H34" t="str">
        <f t="shared" si="1"/>
        <v>, var_varchar_array_2 VARCHAR(25)[]</v>
      </c>
      <c r="I34" t="str">
        <f t="shared" si="2"/>
        <v>, vol_varchar_array_2 VARCHAR(25)[]</v>
      </c>
      <c r="K34" t="str">
        <f t="shared" si="3"/>
        <v>, data_varchar_array_2</v>
      </c>
      <c r="L34" t="str">
        <f t="shared" si="4"/>
        <v>, var_varchar_array_2</v>
      </c>
      <c r="M34" t="str">
        <f t="shared" si="5"/>
        <v>, vol_varchar_array_2</v>
      </c>
    </row>
  </sheetData>
  <sortState ref="D1:E37">
    <sortCondition ref="D1:D37"/>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H11"/>
  <sheetViews>
    <sheetView tabSelected="1" workbookViewId="0">
      <pane xSplit="1" ySplit="1" topLeftCell="O2" activePane="bottomRight" state="frozen"/>
      <selection pane="topRight" activeCell="B1" sqref="B1"/>
      <selection pane="bottomLeft" activeCell="A2" sqref="A2"/>
      <selection pane="bottomRight" activeCell="U7" sqref="U7"/>
    </sheetView>
  </sheetViews>
  <sheetFormatPr defaultRowHeight="15.75" x14ac:dyDescent="0.25"/>
  <cols>
    <col min="1" max="1" width="9.875" style="1" bestFit="1" customWidth="1"/>
    <col min="2" max="2" width="17.625" style="1" bestFit="1" customWidth="1"/>
    <col min="3" max="3" width="31.75" style="1" bestFit="1" customWidth="1"/>
    <col min="4" max="5" width="25.25" style="1" bestFit="1" customWidth="1"/>
    <col min="6" max="6" width="16.25" style="1" bestFit="1" customWidth="1"/>
    <col min="7" max="8" width="15" style="1" bestFit="1" customWidth="1"/>
    <col min="9" max="10" width="22.75" style="1" bestFit="1" customWidth="1"/>
    <col min="11" max="12" width="15" style="1" bestFit="1" customWidth="1"/>
    <col min="13" max="13" width="26.625" style="1" bestFit="1" customWidth="1"/>
    <col min="14" max="14" width="22.75" style="1" bestFit="1" customWidth="1"/>
    <col min="15" max="15" width="18.875" style="1" bestFit="1" customWidth="1"/>
    <col min="16" max="16" width="30.5" style="1" bestFit="1" customWidth="1"/>
    <col min="17" max="18" width="13.75" style="1" bestFit="1" customWidth="1"/>
    <col min="19" max="20" width="21.5" style="1" bestFit="1" customWidth="1"/>
    <col min="21" max="21" width="13.125" style="1" customWidth="1"/>
    <col min="22" max="23" width="17.625" style="1" bestFit="1" customWidth="1"/>
    <col min="24" max="25" width="25.25" style="1" bestFit="1" customWidth="1"/>
    <col min="26" max="26" width="15" style="1" bestFit="1" customWidth="1"/>
    <col min="27" max="27" width="21.5" style="1" bestFit="1" customWidth="1"/>
    <col min="28" max="29" width="22.75" style="1" bestFit="1" customWidth="1"/>
    <col min="30" max="30" width="18.875" style="3" bestFit="1" customWidth="1"/>
    <col min="31" max="32" width="18.875" style="1" bestFit="1" customWidth="1"/>
    <col min="33" max="34" width="26.625" style="1" bestFit="1" customWidth="1"/>
    <col min="35" max="16384" width="9" style="1"/>
  </cols>
  <sheetData>
    <row r="1" spans="1:34" x14ac:dyDescent="0.25">
      <c r="A1" s="1" t="s">
        <v>60</v>
      </c>
      <c r="B1" s="1" t="s">
        <v>61</v>
      </c>
      <c r="C1" s="1" t="s">
        <v>62</v>
      </c>
      <c r="D1" s="1" t="s">
        <v>63</v>
      </c>
      <c r="E1" s="1" t="s">
        <v>64</v>
      </c>
      <c r="F1" s="1" t="s">
        <v>65</v>
      </c>
      <c r="G1" s="1" t="s">
        <v>66</v>
      </c>
      <c r="H1" s="1" t="s">
        <v>67</v>
      </c>
      <c r="I1" s="1" t="s">
        <v>68</v>
      </c>
      <c r="J1" s="1" t="s">
        <v>69</v>
      </c>
      <c r="K1" s="1" t="s">
        <v>70</v>
      </c>
      <c r="L1" s="1" t="s">
        <v>71</v>
      </c>
      <c r="M1" s="1" t="s">
        <v>72</v>
      </c>
      <c r="N1" s="1" t="s">
        <v>73</v>
      </c>
      <c r="O1" s="1" t="s">
        <v>74</v>
      </c>
      <c r="P1" s="1" t="s">
        <v>75</v>
      </c>
      <c r="Q1" s="1" t="s">
        <v>76</v>
      </c>
      <c r="R1" s="1" t="s">
        <v>77</v>
      </c>
      <c r="S1" s="1" t="s">
        <v>78</v>
      </c>
      <c r="T1" s="1" t="s">
        <v>79</v>
      </c>
      <c r="U1" s="1" t="s">
        <v>80</v>
      </c>
      <c r="V1" s="1" t="s">
        <v>81</v>
      </c>
      <c r="W1" s="1" t="s">
        <v>82</v>
      </c>
      <c r="X1" s="1" t="s">
        <v>83</v>
      </c>
      <c r="Y1" s="1" t="s">
        <v>84</v>
      </c>
      <c r="Z1" s="1" t="s">
        <v>85</v>
      </c>
      <c r="AA1" s="1" t="s">
        <v>86</v>
      </c>
      <c r="AB1" s="1" t="s">
        <v>87</v>
      </c>
      <c r="AC1" s="1" t="s">
        <v>88</v>
      </c>
      <c r="AD1" s="3" t="s">
        <v>89</v>
      </c>
      <c r="AE1" s="1" t="s">
        <v>90</v>
      </c>
      <c r="AF1" s="1" t="s">
        <v>91</v>
      </c>
      <c r="AG1" s="1" t="s">
        <v>92</v>
      </c>
      <c r="AH1" s="1" t="s">
        <v>93</v>
      </c>
    </row>
    <row r="2" spans="1:34" x14ac:dyDescent="0.25">
      <c r="A2" s="1">
        <v>1</v>
      </c>
      <c r="B2" s="1">
        <v>101</v>
      </c>
      <c r="C2" s="1">
        <v>1</v>
      </c>
      <c r="D2" s="1" t="s">
        <v>158</v>
      </c>
      <c r="E2" s="1" t="s">
        <v>163</v>
      </c>
      <c r="F2" s="1" t="b">
        <v>1</v>
      </c>
      <c r="G2" s="1" t="s">
        <v>168</v>
      </c>
      <c r="H2" s="1" t="s">
        <v>170</v>
      </c>
      <c r="I2" s="1" t="s">
        <v>172</v>
      </c>
      <c r="J2" s="1" t="s">
        <v>174</v>
      </c>
      <c r="K2" s="1">
        <v>20170101</v>
      </c>
      <c r="L2" s="1">
        <v>20170111</v>
      </c>
      <c r="M2" s="1" t="s">
        <v>177</v>
      </c>
      <c r="N2" s="1" t="s">
        <v>184</v>
      </c>
      <c r="O2" s="1" t="s">
        <v>186</v>
      </c>
      <c r="P2" s="1" t="s">
        <v>186</v>
      </c>
      <c r="Q2" s="1">
        <v>9999</v>
      </c>
      <c r="R2" s="1">
        <v>10001</v>
      </c>
      <c r="S2" s="1" t="s">
        <v>165</v>
      </c>
      <c r="T2" s="1" t="s">
        <v>165</v>
      </c>
      <c r="U2" s="2" t="s">
        <v>202</v>
      </c>
      <c r="V2" s="1" t="s">
        <v>195</v>
      </c>
      <c r="W2" s="2" t="s">
        <v>206</v>
      </c>
      <c r="X2" s="2" t="s">
        <v>217</v>
      </c>
      <c r="Y2" s="2" t="s">
        <v>218</v>
      </c>
      <c r="Z2" s="1" t="s">
        <v>220</v>
      </c>
      <c r="AA2" s="1">
        <v>1</v>
      </c>
      <c r="AB2" s="1" t="s">
        <v>223</v>
      </c>
      <c r="AC2" s="1" t="s">
        <v>225</v>
      </c>
      <c r="AD2" s="3" t="s">
        <v>228</v>
      </c>
      <c r="AE2" s="1" t="s">
        <v>233</v>
      </c>
      <c r="AF2" s="1" t="s">
        <v>234</v>
      </c>
      <c r="AG2" s="1" t="s">
        <v>244</v>
      </c>
      <c r="AH2" s="1" t="s">
        <v>247</v>
      </c>
    </row>
    <row r="3" spans="1:34" x14ac:dyDescent="0.25">
      <c r="A3" s="1">
        <v>2</v>
      </c>
      <c r="B3" s="1">
        <v>102</v>
      </c>
      <c r="C3" s="1">
        <v>2</v>
      </c>
      <c r="D3" s="1" t="s">
        <v>159</v>
      </c>
      <c r="E3" s="1" t="s">
        <v>164</v>
      </c>
      <c r="F3" s="1" t="b">
        <v>0</v>
      </c>
      <c r="G3" s="1" t="s">
        <v>169</v>
      </c>
      <c r="H3" s="1" t="s">
        <v>171</v>
      </c>
      <c r="I3" s="1" t="s">
        <v>173</v>
      </c>
      <c r="J3" s="1" t="s">
        <v>174</v>
      </c>
      <c r="K3" s="1">
        <v>20170102</v>
      </c>
      <c r="L3" s="1">
        <v>20170112</v>
      </c>
      <c r="M3" s="1" t="s">
        <v>176</v>
      </c>
      <c r="N3" s="1" t="s">
        <v>185</v>
      </c>
      <c r="O3" s="1" t="s">
        <v>187</v>
      </c>
      <c r="P3" s="1" t="s">
        <v>187</v>
      </c>
      <c r="Q3" s="1">
        <v>9998</v>
      </c>
      <c r="R3" s="1">
        <v>10002</v>
      </c>
      <c r="S3" s="1" t="s">
        <v>192</v>
      </c>
      <c r="T3" s="1" t="s">
        <v>193</v>
      </c>
      <c r="U3" s="2" t="s">
        <v>203</v>
      </c>
      <c r="V3" s="1" t="s">
        <v>196</v>
      </c>
      <c r="W3" s="2" t="s">
        <v>207</v>
      </c>
      <c r="X3" s="2" t="s">
        <v>212</v>
      </c>
      <c r="Y3" s="2" t="s">
        <v>250</v>
      </c>
      <c r="Z3" s="1" t="s">
        <v>221</v>
      </c>
      <c r="AA3" s="1">
        <v>2</v>
      </c>
      <c r="AB3" s="1" t="s">
        <v>224</v>
      </c>
      <c r="AC3" s="1" t="s">
        <v>226</v>
      </c>
      <c r="AD3" s="3" t="s">
        <v>229</v>
      </c>
      <c r="AE3" s="1" t="s">
        <v>235</v>
      </c>
      <c r="AF3" s="1" t="s">
        <v>236</v>
      </c>
      <c r="AG3" s="1" t="s">
        <v>245</v>
      </c>
      <c r="AH3" s="1" t="s">
        <v>248</v>
      </c>
    </row>
    <row r="4" spans="1:34" x14ac:dyDescent="0.25">
      <c r="A4" s="1">
        <v>3</v>
      </c>
      <c r="B4" s="1">
        <v>103</v>
      </c>
      <c r="C4" s="1">
        <v>1</v>
      </c>
      <c r="D4" s="1" t="s">
        <v>160</v>
      </c>
      <c r="E4" s="1" t="s">
        <v>165</v>
      </c>
      <c r="F4" s="1" t="b">
        <v>1</v>
      </c>
      <c r="G4" s="1" t="s">
        <v>168</v>
      </c>
      <c r="H4" s="1" t="s">
        <v>170</v>
      </c>
      <c r="I4" s="1" t="s">
        <v>172</v>
      </c>
      <c r="J4" s="1" t="s">
        <v>175</v>
      </c>
      <c r="K4" s="1">
        <v>20170103</v>
      </c>
      <c r="L4" s="1">
        <v>20170113</v>
      </c>
      <c r="M4" s="1" t="s">
        <v>178</v>
      </c>
      <c r="N4" s="1" t="s">
        <v>185</v>
      </c>
      <c r="O4" s="1" t="s">
        <v>188</v>
      </c>
      <c r="P4" s="1" t="s">
        <v>188</v>
      </c>
      <c r="Q4" s="1">
        <v>9997</v>
      </c>
      <c r="R4" s="1">
        <v>10003</v>
      </c>
      <c r="S4" s="1" t="s">
        <v>165</v>
      </c>
      <c r="T4" s="1" t="s">
        <v>165</v>
      </c>
      <c r="U4" s="2" t="s">
        <v>202</v>
      </c>
      <c r="V4" s="1" t="s">
        <v>197</v>
      </c>
      <c r="W4" s="2" t="s">
        <v>208</v>
      </c>
      <c r="X4" s="2" t="s">
        <v>213</v>
      </c>
      <c r="Y4" s="2" t="s">
        <v>251</v>
      </c>
      <c r="Z4" s="1" t="s">
        <v>222</v>
      </c>
      <c r="AA4" s="1">
        <v>1</v>
      </c>
      <c r="AB4" s="1" t="s">
        <v>223</v>
      </c>
      <c r="AC4" s="1" t="s">
        <v>225</v>
      </c>
      <c r="AD4" s="3" t="s">
        <v>230</v>
      </c>
      <c r="AE4" s="1" t="s">
        <v>277</v>
      </c>
      <c r="AF4" s="1" t="s">
        <v>237</v>
      </c>
      <c r="AG4" s="1" t="s">
        <v>244</v>
      </c>
      <c r="AH4" s="1" t="s">
        <v>247</v>
      </c>
    </row>
    <row r="5" spans="1:34" x14ac:dyDescent="0.25">
      <c r="A5" s="1">
        <v>4</v>
      </c>
      <c r="B5" s="1">
        <v>104</v>
      </c>
      <c r="C5" s="1">
        <v>2</v>
      </c>
      <c r="D5" s="1" t="s">
        <v>161</v>
      </c>
      <c r="E5" s="1" t="s">
        <v>166</v>
      </c>
      <c r="F5" s="1" t="b">
        <v>0</v>
      </c>
      <c r="G5" s="1" t="s">
        <v>169</v>
      </c>
      <c r="H5" s="1" t="s">
        <v>171</v>
      </c>
      <c r="I5" s="1" t="s">
        <v>173</v>
      </c>
      <c r="J5" s="1" t="s">
        <v>175</v>
      </c>
      <c r="K5" s="1">
        <v>20170104</v>
      </c>
      <c r="L5" s="1">
        <v>20170114</v>
      </c>
      <c r="M5" s="1" t="s">
        <v>179</v>
      </c>
      <c r="O5" s="1" t="s">
        <v>189</v>
      </c>
      <c r="P5" s="1" t="s">
        <v>189</v>
      </c>
      <c r="Q5" s="1">
        <v>9996</v>
      </c>
      <c r="R5" s="1">
        <v>10004</v>
      </c>
      <c r="S5" s="1" t="s">
        <v>192</v>
      </c>
      <c r="T5" s="1" t="s">
        <v>193</v>
      </c>
      <c r="U5" s="2" t="s">
        <v>203</v>
      </c>
      <c r="V5" s="1" t="s">
        <v>198</v>
      </c>
      <c r="W5" s="2" t="s">
        <v>209</v>
      </c>
      <c r="X5" s="2" t="s">
        <v>214</v>
      </c>
      <c r="Y5" s="2" t="s">
        <v>219</v>
      </c>
      <c r="Z5" s="1" t="s">
        <v>222</v>
      </c>
      <c r="AA5" s="1">
        <v>2</v>
      </c>
      <c r="AB5" s="1" t="s">
        <v>224</v>
      </c>
      <c r="AC5" s="1" t="s">
        <v>226</v>
      </c>
      <c r="AD5" s="3" t="s">
        <v>227</v>
      </c>
      <c r="AE5" s="1" t="s">
        <v>238</v>
      </c>
      <c r="AF5" s="1" t="s">
        <v>239</v>
      </c>
      <c r="AG5" s="1" t="s">
        <v>245</v>
      </c>
      <c r="AH5" s="1" t="s">
        <v>248</v>
      </c>
    </row>
    <row r="6" spans="1:34" x14ac:dyDescent="0.25">
      <c r="A6" s="1">
        <v>5</v>
      </c>
      <c r="B6" s="1">
        <v>105</v>
      </c>
      <c r="C6" s="1">
        <v>1</v>
      </c>
      <c r="D6" s="1" t="s">
        <v>162</v>
      </c>
      <c r="E6" s="1" t="s">
        <v>167</v>
      </c>
      <c r="F6" s="1" t="b">
        <v>1</v>
      </c>
      <c r="G6" s="1" t="s">
        <v>168</v>
      </c>
      <c r="H6" s="1" t="s">
        <v>170</v>
      </c>
      <c r="I6" s="1" t="s">
        <v>172</v>
      </c>
      <c r="J6" s="1" t="s">
        <v>175</v>
      </c>
      <c r="K6" s="1">
        <v>20170105</v>
      </c>
      <c r="L6" s="1">
        <v>20170115</v>
      </c>
      <c r="M6" s="1" t="s">
        <v>180</v>
      </c>
      <c r="N6" s="1" t="s">
        <v>184</v>
      </c>
      <c r="O6" s="1" t="s">
        <v>190</v>
      </c>
      <c r="P6" s="1" t="s">
        <v>190</v>
      </c>
      <c r="Q6" s="1">
        <v>9995</v>
      </c>
      <c r="R6" s="1">
        <v>10005</v>
      </c>
      <c r="S6" s="1" t="s">
        <v>165</v>
      </c>
      <c r="T6" s="1" t="s">
        <v>165</v>
      </c>
      <c r="U6" s="2" t="s">
        <v>204</v>
      </c>
      <c r="V6" s="1" t="s">
        <v>199</v>
      </c>
      <c r="W6" s="2" t="s">
        <v>210</v>
      </c>
      <c r="X6" s="2" t="s">
        <v>215</v>
      </c>
      <c r="Y6" s="2" t="s">
        <v>252</v>
      </c>
      <c r="Z6" s="1" t="s">
        <v>220</v>
      </c>
      <c r="AA6" s="1">
        <v>2</v>
      </c>
      <c r="AB6" s="1" t="s">
        <v>223</v>
      </c>
      <c r="AC6" s="1" t="s">
        <v>225</v>
      </c>
      <c r="AD6" s="3" t="s">
        <v>231</v>
      </c>
      <c r="AE6" s="1" t="s">
        <v>240</v>
      </c>
      <c r="AF6" s="1" t="s">
        <v>241</v>
      </c>
      <c r="AG6" s="1" t="s">
        <v>244</v>
      </c>
      <c r="AH6" s="1" t="s">
        <v>247</v>
      </c>
    </row>
    <row r="7" spans="1:34" x14ac:dyDescent="0.25">
      <c r="A7" s="1">
        <v>6</v>
      </c>
      <c r="B7" s="1">
        <v>106</v>
      </c>
      <c r="C7" s="1">
        <v>3</v>
      </c>
      <c r="D7" s="1" t="s">
        <v>181</v>
      </c>
      <c r="E7" s="1" t="s">
        <v>166</v>
      </c>
      <c r="F7" s="1" t="b">
        <v>1</v>
      </c>
      <c r="G7" s="1" t="s">
        <v>169</v>
      </c>
      <c r="H7" s="1" t="s">
        <v>182</v>
      </c>
      <c r="I7" s="1" t="s">
        <v>172</v>
      </c>
      <c r="J7" s="1" t="s">
        <v>175</v>
      </c>
      <c r="K7" s="1">
        <v>20170106</v>
      </c>
      <c r="L7" s="1">
        <v>20170116</v>
      </c>
      <c r="M7" s="1" t="s">
        <v>183</v>
      </c>
      <c r="N7" s="1" t="s">
        <v>185</v>
      </c>
      <c r="O7" s="1" t="s">
        <v>191</v>
      </c>
      <c r="P7" s="1" t="s">
        <v>191</v>
      </c>
      <c r="Q7" s="1">
        <v>9994</v>
      </c>
      <c r="R7" s="1">
        <v>10006</v>
      </c>
      <c r="S7" s="1" t="s">
        <v>193</v>
      </c>
      <c r="T7" s="1" t="s">
        <v>194</v>
      </c>
      <c r="U7" s="2" t="s">
        <v>308</v>
      </c>
      <c r="V7" s="1" t="s">
        <v>200</v>
      </c>
      <c r="W7" s="2" t="s">
        <v>211</v>
      </c>
      <c r="X7" s="2" t="s">
        <v>216</v>
      </c>
      <c r="Y7" s="2" t="s">
        <v>253</v>
      </c>
      <c r="Z7" s="1" t="s">
        <v>220</v>
      </c>
      <c r="AA7" s="1">
        <v>1</v>
      </c>
      <c r="AB7" s="1" t="s">
        <v>224</v>
      </c>
      <c r="AC7" s="1" t="s">
        <v>226</v>
      </c>
      <c r="AD7" s="3" t="s">
        <v>232</v>
      </c>
      <c r="AE7" s="1" t="s">
        <v>242</v>
      </c>
      <c r="AF7" s="1" t="s">
        <v>243</v>
      </c>
      <c r="AG7" s="1" t="s">
        <v>246</v>
      </c>
      <c r="AH7" s="1" t="s">
        <v>249</v>
      </c>
    </row>
    <row r="8" spans="1:34" x14ac:dyDescent="0.25">
      <c r="A8" s="1">
        <v>7</v>
      </c>
      <c r="D8" s="1" t="s">
        <v>201</v>
      </c>
      <c r="E8" s="1" t="s">
        <v>201</v>
      </c>
      <c r="I8" s="1" t="s">
        <v>201</v>
      </c>
      <c r="J8" s="1" t="s">
        <v>201</v>
      </c>
      <c r="M8" s="1" t="s">
        <v>201</v>
      </c>
      <c r="N8" s="1" t="s">
        <v>201</v>
      </c>
      <c r="S8" s="1" t="s">
        <v>201</v>
      </c>
      <c r="T8" s="1" t="s">
        <v>201</v>
      </c>
      <c r="U8" s="2"/>
      <c r="X8" s="1" t="s">
        <v>201</v>
      </c>
      <c r="Y8" s="1" t="s">
        <v>201</v>
      </c>
      <c r="AB8" s="1" t="s">
        <v>201</v>
      </c>
      <c r="AC8" s="1" t="s">
        <v>201</v>
      </c>
      <c r="AG8" s="1" t="s">
        <v>201</v>
      </c>
      <c r="AH8" s="1" t="s">
        <v>201</v>
      </c>
    </row>
    <row r="9" spans="1:34" x14ac:dyDescent="0.25">
      <c r="A9" s="1">
        <v>8</v>
      </c>
      <c r="B9" s="1">
        <v>108</v>
      </c>
      <c r="C9" s="1">
        <v>3</v>
      </c>
      <c r="D9" s="1" t="s">
        <v>254</v>
      </c>
      <c r="E9" s="1" t="s">
        <v>167</v>
      </c>
      <c r="F9" s="1" t="b">
        <v>0</v>
      </c>
      <c r="G9" s="1" t="s">
        <v>169</v>
      </c>
      <c r="H9" s="1" t="s">
        <v>170</v>
      </c>
      <c r="I9" s="1" t="s">
        <v>172</v>
      </c>
      <c r="J9" s="1" t="s">
        <v>174</v>
      </c>
      <c r="K9" s="1">
        <v>20170108</v>
      </c>
      <c r="L9" s="1">
        <v>20170118</v>
      </c>
      <c r="M9" s="1" t="s">
        <v>257</v>
      </c>
      <c r="N9" s="1" t="s">
        <v>184</v>
      </c>
      <c r="O9" s="1" t="s">
        <v>260</v>
      </c>
      <c r="P9" s="1" t="s">
        <v>260</v>
      </c>
      <c r="Q9" s="1">
        <v>9993</v>
      </c>
      <c r="R9" s="1">
        <v>10008</v>
      </c>
      <c r="S9" s="1" t="s">
        <v>192</v>
      </c>
      <c r="T9" s="1" t="s">
        <v>165</v>
      </c>
      <c r="U9" s="2" t="s">
        <v>203</v>
      </c>
      <c r="V9" s="1" t="s">
        <v>262</v>
      </c>
      <c r="W9" s="1" t="s">
        <v>265</v>
      </c>
      <c r="X9" s="1" t="s">
        <v>268</v>
      </c>
      <c r="Y9" s="1" t="s">
        <v>269</v>
      </c>
      <c r="Z9" s="1" t="s">
        <v>221</v>
      </c>
      <c r="AA9" s="1">
        <v>3</v>
      </c>
      <c r="AB9" s="1" t="s">
        <v>223</v>
      </c>
      <c r="AC9" s="1" t="s">
        <v>225</v>
      </c>
      <c r="AD9" s="3" t="s">
        <v>272</v>
      </c>
      <c r="AE9" s="1" t="s">
        <v>238</v>
      </c>
      <c r="AF9" s="1" t="s">
        <v>275</v>
      </c>
      <c r="AG9" s="1" t="s">
        <v>245</v>
      </c>
      <c r="AH9" s="1" t="s">
        <v>248</v>
      </c>
    </row>
    <row r="10" spans="1:34" x14ac:dyDescent="0.25">
      <c r="A10" s="1">
        <v>9</v>
      </c>
      <c r="B10" s="1">
        <v>109</v>
      </c>
      <c r="C10" s="1">
        <v>2</v>
      </c>
      <c r="D10" s="1" t="s">
        <v>255</v>
      </c>
      <c r="E10" s="1" t="s">
        <v>165</v>
      </c>
      <c r="F10" s="1" t="b">
        <v>0</v>
      </c>
      <c r="G10" s="1" t="s">
        <v>168</v>
      </c>
      <c r="H10" s="1" t="s">
        <v>171</v>
      </c>
      <c r="I10" s="1" t="s">
        <v>173</v>
      </c>
      <c r="J10" s="1" t="s">
        <v>175</v>
      </c>
      <c r="K10" s="1">
        <v>20170109</v>
      </c>
      <c r="L10" s="1">
        <v>20170119</v>
      </c>
      <c r="M10" s="1" t="s">
        <v>258</v>
      </c>
      <c r="N10" s="1" t="s">
        <v>185</v>
      </c>
      <c r="O10" s="1" t="s">
        <v>281</v>
      </c>
      <c r="P10" s="1" t="s">
        <v>281</v>
      </c>
      <c r="Q10" s="1">
        <v>9992</v>
      </c>
      <c r="R10" s="1">
        <v>10009</v>
      </c>
      <c r="S10" s="1" t="s">
        <v>165</v>
      </c>
      <c r="T10" s="1" t="s">
        <v>193</v>
      </c>
      <c r="U10" s="2" t="s">
        <v>204</v>
      </c>
      <c r="V10" s="1" t="s">
        <v>263</v>
      </c>
      <c r="W10" s="1" t="s">
        <v>266</v>
      </c>
      <c r="X10" s="1" t="s">
        <v>282</v>
      </c>
      <c r="Y10" s="1" t="s">
        <v>270</v>
      </c>
      <c r="Z10" s="1" t="s">
        <v>222</v>
      </c>
      <c r="AA10" s="1">
        <v>3</v>
      </c>
      <c r="AB10" s="1" t="s">
        <v>224</v>
      </c>
      <c r="AC10" s="1" t="s">
        <v>226</v>
      </c>
      <c r="AD10" s="3" t="s">
        <v>273</v>
      </c>
      <c r="AE10" s="1" t="s">
        <v>276</v>
      </c>
      <c r="AF10" s="1" t="s">
        <v>275</v>
      </c>
      <c r="AG10" s="1" t="s">
        <v>244</v>
      </c>
      <c r="AH10" s="1" t="s">
        <v>247</v>
      </c>
    </row>
    <row r="11" spans="1:34" x14ac:dyDescent="0.25">
      <c r="A11" s="1">
        <v>10</v>
      </c>
      <c r="B11" s="1">
        <v>110</v>
      </c>
      <c r="C11" s="1">
        <v>1</v>
      </c>
      <c r="D11" s="1" t="s">
        <v>256</v>
      </c>
      <c r="E11" s="1" t="s">
        <v>163</v>
      </c>
      <c r="F11" s="1" t="b">
        <v>1</v>
      </c>
      <c r="G11" s="1" t="s">
        <v>169</v>
      </c>
      <c r="H11" s="1" t="s">
        <v>170</v>
      </c>
      <c r="I11" s="1" t="s">
        <v>173</v>
      </c>
      <c r="J11" s="1" t="s">
        <v>174</v>
      </c>
      <c r="K11" s="1">
        <v>20170110</v>
      </c>
      <c r="L11" s="1">
        <v>20170120</v>
      </c>
      <c r="M11" s="1" t="s">
        <v>259</v>
      </c>
      <c r="N11" s="1" t="s">
        <v>185</v>
      </c>
      <c r="O11" s="1" t="s">
        <v>261</v>
      </c>
      <c r="P11" s="1" t="s">
        <v>261</v>
      </c>
      <c r="Q11" s="1">
        <v>9991</v>
      </c>
      <c r="R11" s="1">
        <v>10010</v>
      </c>
      <c r="S11" s="1" t="s">
        <v>193</v>
      </c>
      <c r="T11" s="1" t="s">
        <v>165</v>
      </c>
      <c r="U11" s="2" t="s">
        <v>205</v>
      </c>
      <c r="V11" s="1" t="s">
        <v>264</v>
      </c>
      <c r="W11" s="1" t="s">
        <v>267</v>
      </c>
      <c r="X11" s="1" t="s">
        <v>280</v>
      </c>
      <c r="Y11" s="1" t="s">
        <v>271</v>
      </c>
      <c r="Z11" s="1" t="s">
        <v>220</v>
      </c>
      <c r="AA11" s="1">
        <v>2</v>
      </c>
      <c r="AB11" s="1" t="s">
        <v>224</v>
      </c>
      <c r="AC11" s="1" t="s">
        <v>225</v>
      </c>
      <c r="AD11" s="3" t="s">
        <v>274</v>
      </c>
      <c r="AE11" s="1" t="s">
        <v>278</v>
      </c>
      <c r="AF11" s="1" t="s">
        <v>279</v>
      </c>
      <c r="AG11" s="1" t="s">
        <v>246</v>
      </c>
      <c r="AH11" s="1" t="s">
        <v>249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11"/>
  <sheetViews>
    <sheetView workbookViewId="0">
      <pane xSplit="1" ySplit="1" topLeftCell="L2" activePane="bottomRight" state="frozen"/>
      <selection pane="topRight" activeCell="B1" sqref="B1"/>
      <selection pane="bottomLeft" activeCell="A2" sqref="A2"/>
      <selection pane="bottomRight" activeCell="S11" sqref="S11"/>
    </sheetView>
  </sheetViews>
  <sheetFormatPr defaultRowHeight="15.75" x14ac:dyDescent="0.25"/>
  <cols>
    <col min="1" max="1" width="8.625" style="1" bestFit="1" customWidth="1"/>
    <col min="2" max="2" width="16.25" style="1" bestFit="1" customWidth="1"/>
    <col min="3" max="3" width="30.5" style="1" bestFit="1" customWidth="1"/>
    <col min="4" max="5" width="24" style="1" bestFit="1" customWidth="1"/>
    <col min="6" max="6" width="15" style="1" bestFit="1" customWidth="1"/>
    <col min="7" max="8" width="13.75" style="1" bestFit="1" customWidth="1"/>
    <col min="9" max="10" width="21.5" style="1" bestFit="1" customWidth="1"/>
    <col min="11" max="12" width="13.75" style="1" bestFit="1" customWidth="1"/>
    <col min="13" max="14" width="21.5" style="1" bestFit="1" customWidth="1"/>
    <col min="15" max="16" width="12.375" style="1" bestFit="1" customWidth="1"/>
    <col min="17" max="18" width="20.125" style="1" bestFit="1" customWidth="1"/>
    <col min="19" max="19" width="11.125" style="1" bestFit="1" customWidth="1"/>
    <col min="20" max="21" width="16.25" style="1" bestFit="1" customWidth="1"/>
    <col min="22" max="23" width="24" style="1" bestFit="1" customWidth="1"/>
    <col min="24" max="24" width="13.75" style="1" bestFit="1" customWidth="1"/>
    <col min="25" max="25" width="20.125" style="1" bestFit="1" customWidth="1"/>
    <col min="26" max="27" width="21.5" style="1" bestFit="1" customWidth="1"/>
    <col min="28" max="29" width="17.625" style="1" bestFit="1" customWidth="1"/>
    <col min="30" max="30" width="17.625" style="3" bestFit="1" customWidth="1"/>
    <col min="31" max="32" width="25.25" style="1" bestFit="1" customWidth="1"/>
    <col min="33" max="34" width="26.625" style="1" bestFit="1" customWidth="1"/>
    <col min="35" max="16384" width="9" style="1"/>
  </cols>
  <sheetData>
    <row r="1" spans="1:32" x14ac:dyDescent="0.25">
      <c r="A1" s="1" t="s">
        <v>94</v>
      </c>
      <c r="B1" s="1" t="s">
        <v>96</v>
      </c>
      <c r="C1" s="1" t="s">
        <v>97</v>
      </c>
      <c r="D1" s="1" t="s">
        <v>98</v>
      </c>
      <c r="E1" s="1" t="s">
        <v>99</v>
      </c>
      <c r="F1" s="1" t="s">
        <v>100</v>
      </c>
      <c r="G1" s="1" t="s">
        <v>101</v>
      </c>
      <c r="H1" s="1" t="s">
        <v>102</v>
      </c>
      <c r="I1" s="1" t="s">
        <v>103</v>
      </c>
      <c r="J1" s="1" t="s">
        <v>104</v>
      </c>
      <c r="K1" s="1" t="s">
        <v>105</v>
      </c>
      <c r="L1" s="1" t="s">
        <v>106</v>
      </c>
      <c r="M1" s="1" t="s">
        <v>107</v>
      </c>
      <c r="N1" s="1" t="s">
        <v>108</v>
      </c>
      <c r="O1" s="1" t="s">
        <v>109</v>
      </c>
      <c r="P1" s="1" t="s">
        <v>110</v>
      </c>
      <c r="Q1" s="1" t="s">
        <v>111</v>
      </c>
      <c r="R1" s="1" t="s">
        <v>112</v>
      </c>
      <c r="S1" s="1" t="s">
        <v>113</v>
      </c>
      <c r="T1" s="1" t="s">
        <v>114</v>
      </c>
      <c r="U1" s="1" t="s">
        <v>115</v>
      </c>
      <c r="V1" s="1" t="s">
        <v>116</v>
      </c>
      <c r="W1" s="1" t="s">
        <v>117</v>
      </c>
      <c r="X1" s="1" t="s">
        <v>118</v>
      </c>
      <c r="Y1" s="1" t="s">
        <v>119</v>
      </c>
      <c r="Z1" s="1" t="s">
        <v>120</v>
      </c>
      <c r="AA1" s="1" t="s">
        <v>121</v>
      </c>
      <c r="AB1" s="1" t="s">
        <v>122</v>
      </c>
      <c r="AC1" s="1" t="s">
        <v>123</v>
      </c>
      <c r="AD1" s="3" t="s">
        <v>124</v>
      </c>
      <c r="AE1" s="1" t="s">
        <v>125</v>
      </c>
      <c r="AF1" s="1" t="s">
        <v>126</v>
      </c>
    </row>
    <row r="2" spans="1:32" x14ac:dyDescent="0.25">
      <c r="A2" s="1">
        <v>1</v>
      </c>
      <c r="C2" s="1">
        <v>5</v>
      </c>
      <c r="D2" s="1" t="s">
        <v>201</v>
      </c>
      <c r="E2" s="1" t="s">
        <v>201</v>
      </c>
      <c r="F2" s="1" t="b">
        <v>1</v>
      </c>
      <c r="G2" s="1" t="s">
        <v>298</v>
      </c>
      <c r="H2" s="1" t="s">
        <v>301</v>
      </c>
      <c r="I2" s="1" t="s">
        <v>201</v>
      </c>
      <c r="J2" s="1" t="s">
        <v>201</v>
      </c>
      <c r="M2" s="1" t="s">
        <v>201</v>
      </c>
      <c r="N2" s="1" t="s">
        <v>201</v>
      </c>
      <c r="Q2" s="1" t="s">
        <v>201</v>
      </c>
      <c r="R2" s="1" t="s">
        <v>201</v>
      </c>
      <c r="S2" s="2" t="s">
        <v>294</v>
      </c>
      <c r="U2" s="2"/>
      <c r="V2" s="1" t="s">
        <v>201</v>
      </c>
      <c r="W2" s="1" t="s">
        <v>201</v>
      </c>
      <c r="X2" s="2" t="s">
        <v>289</v>
      </c>
      <c r="Y2" s="2" t="s">
        <v>283</v>
      </c>
      <c r="Z2" s="1" t="s">
        <v>201</v>
      </c>
      <c r="AA2" s="1" t="s">
        <v>201</v>
      </c>
      <c r="AE2" s="1" t="s">
        <v>201</v>
      </c>
      <c r="AF2" s="1" t="s">
        <v>201</v>
      </c>
    </row>
    <row r="3" spans="1:32" x14ac:dyDescent="0.25">
      <c r="A3" s="1">
        <v>2</v>
      </c>
      <c r="C3" s="1">
        <v>6</v>
      </c>
      <c r="D3" s="1" t="s">
        <v>201</v>
      </c>
      <c r="E3" s="1" t="s">
        <v>201</v>
      </c>
      <c r="F3" s="1" t="b">
        <v>0</v>
      </c>
      <c r="G3" s="1" t="s">
        <v>299</v>
      </c>
      <c r="H3" s="1" t="s">
        <v>302</v>
      </c>
      <c r="I3" s="1" t="s">
        <v>201</v>
      </c>
      <c r="J3" s="1" t="s">
        <v>201</v>
      </c>
      <c r="M3" s="1" t="s">
        <v>201</v>
      </c>
      <c r="N3" s="1" t="s">
        <v>201</v>
      </c>
      <c r="Q3" s="1" t="s">
        <v>201</v>
      </c>
      <c r="R3" s="1" t="s">
        <v>201</v>
      </c>
      <c r="S3" s="2" t="s">
        <v>295</v>
      </c>
      <c r="U3" s="2"/>
      <c r="V3" s="1" t="s">
        <v>201</v>
      </c>
      <c r="W3" s="1" t="s">
        <v>201</v>
      </c>
      <c r="X3" s="2" t="s">
        <v>290</v>
      </c>
      <c r="Y3" s="2" t="s">
        <v>284</v>
      </c>
      <c r="Z3" s="1" t="s">
        <v>201</v>
      </c>
      <c r="AA3" s="1" t="s">
        <v>201</v>
      </c>
      <c r="AE3" s="1" t="s">
        <v>201</v>
      </c>
      <c r="AF3" s="1" t="s">
        <v>201</v>
      </c>
    </row>
    <row r="4" spans="1:32" x14ac:dyDescent="0.25">
      <c r="A4" s="1">
        <v>3</v>
      </c>
      <c r="C4" s="1">
        <v>5</v>
      </c>
      <c r="D4" s="1" t="s">
        <v>201</v>
      </c>
      <c r="E4" s="1" t="s">
        <v>201</v>
      </c>
      <c r="F4" s="1" t="b">
        <v>1</v>
      </c>
      <c r="G4" s="1" t="s">
        <v>300</v>
      </c>
      <c r="H4" s="1" t="s">
        <v>303</v>
      </c>
      <c r="I4" s="1" t="s">
        <v>201</v>
      </c>
      <c r="J4" s="1" t="s">
        <v>201</v>
      </c>
      <c r="M4" s="1" t="s">
        <v>201</v>
      </c>
      <c r="N4" s="1" t="s">
        <v>201</v>
      </c>
      <c r="Q4" s="1" t="s">
        <v>201</v>
      </c>
      <c r="R4" s="1" t="s">
        <v>201</v>
      </c>
      <c r="S4" s="2" t="s">
        <v>294</v>
      </c>
      <c r="U4" s="2"/>
      <c r="V4" s="1" t="s">
        <v>201</v>
      </c>
      <c r="W4" s="1" t="s">
        <v>201</v>
      </c>
      <c r="X4" s="2" t="s">
        <v>291</v>
      </c>
      <c r="Y4" s="2" t="s">
        <v>285</v>
      </c>
      <c r="Z4" s="1" t="s">
        <v>201</v>
      </c>
      <c r="AA4" s="1" t="s">
        <v>201</v>
      </c>
      <c r="AE4" s="1" t="s">
        <v>201</v>
      </c>
      <c r="AF4" s="1" t="s">
        <v>201</v>
      </c>
    </row>
    <row r="5" spans="1:32" x14ac:dyDescent="0.25">
      <c r="A5" s="1">
        <v>4</v>
      </c>
      <c r="C5" s="1">
        <v>6</v>
      </c>
      <c r="D5" s="1" t="s">
        <v>201</v>
      </c>
      <c r="E5" s="1" t="s">
        <v>201</v>
      </c>
      <c r="F5" s="1" t="b">
        <v>0</v>
      </c>
      <c r="G5" s="1" t="s">
        <v>298</v>
      </c>
      <c r="H5" s="1" t="s">
        <v>301</v>
      </c>
      <c r="I5" s="1" t="s">
        <v>201</v>
      </c>
      <c r="J5" s="1" t="s">
        <v>201</v>
      </c>
      <c r="M5" s="1" t="s">
        <v>201</v>
      </c>
      <c r="N5" s="1" t="s">
        <v>201</v>
      </c>
      <c r="Q5" s="1" t="s">
        <v>201</v>
      </c>
      <c r="R5" s="1" t="s">
        <v>201</v>
      </c>
      <c r="S5" s="2" t="s">
        <v>295</v>
      </c>
      <c r="U5" s="2"/>
      <c r="V5" s="1" t="s">
        <v>201</v>
      </c>
      <c r="W5" s="1" t="s">
        <v>201</v>
      </c>
      <c r="X5" s="2" t="s">
        <v>289</v>
      </c>
      <c r="Y5" s="2" t="s">
        <v>283</v>
      </c>
      <c r="Z5" s="1" t="s">
        <v>201</v>
      </c>
      <c r="AA5" s="1" t="s">
        <v>201</v>
      </c>
      <c r="AE5" s="1" t="s">
        <v>201</v>
      </c>
      <c r="AF5" s="1" t="s">
        <v>201</v>
      </c>
    </row>
    <row r="6" spans="1:32" x14ac:dyDescent="0.25">
      <c r="A6" s="1">
        <v>5</v>
      </c>
      <c r="C6" s="1">
        <v>7</v>
      </c>
      <c r="D6" s="1" t="s">
        <v>201</v>
      </c>
      <c r="E6" s="1" t="s">
        <v>201</v>
      </c>
      <c r="F6" s="1" t="b">
        <v>1</v>
      </c>
      <c r="G6" s="1" t="s">
        <v>299</v>
      </c>
      <c r="H6" s="1" t="s">
        <v>302</v>
      </c>
      <c r="I6" s="1" t="s">
        <v>201</v>
      </c>
      <c r="J6" s="1" t="s">
        <v>201</v>
      </c>
      <c r="M6" s="1" t="s">
        <v>201</v>
      </c>
      <c r="N6" s="1" t="s">
        <v>201</v>
      </c>
      <c r="Q6" s="1" t="s">
        <v>201</v>
      </c>
      <c r="R6" s="1" t="s">
        <v>201</v>
      </c>
      <c r="S6" s="2" t="s">
        <v>294</v>
      </c>
      <c r="U6" s="2"/>
      <c r="V6" s="1" t="s">
        <v>201</v>
      </c>
      <c r="W6" s="1" t="s">
        <v>201</v>
      </c>
      <c r="X6" s="2" t="s">
        <v>290</v>
      </c>
      <c r="Y6" s="2" t="s">
        <v>284</v>
      </c>
      <c r="Z6" s="1" t="s">
        <v>201</v>
      </c>
      <c r="AA6" s="1" t="s">
        <v>201</v>
      </c>
      <c r="AE6" s="1" t="s">
        <v>201</v>
      </c>
      <c r="AF6" s="1" t="s">
        <v>201</v>
      </c>
    </row>
    <row r="7" spans="1:32" x14ac:dyDescent="0.25">
      <c r="A7" s="1">
        <v>6</v>
      </c>
      <c r="C7" s="1">
        <v>5</v>
      </c>
      <c r="D7" s="1" t="s">
        <v>201</v>
      </c>
      <c r="E7" s="1" t="s">
        <v>201</v>
      </c>
      <c r="F7" s="1" t="b">
        <v>0</v>
      </c>
      <c r="G7" s="1" t="s">
        <v>300</v>
      </c>
      <c r="H7" s="1" t="s">
        <v>303</v>
      </c>
      <c r="I7" s="1" t="s">
        <v>201</v>
      </c>
      <c r="J7" s="1" t="s">
        <v>201</v>
      </c>
      <c r="M7" s="1" t="s">
        <v>201</v>
      </c>
      <c r="N7" s="1" t="s">
        <v>201</v>
      </c>
      <c r="Q7" s="1" t="s">
        <v>201</v>
      </c>
      <c r="R7" s="1" t="s">
        <v>201</v>
      </c>
      <c r="S7" s="2" t="s">
        <v>295</v>
      </c>
      <c r="U7" s="2"/>
      <c r="V7" s="1" t="s">
        <v>201</v>
      </c>
      <c r="W7" s="1" t="s">
        <v>201</v>
      </c>
      <c r="X7" s="2" t="s">
        <v>291</v>
      </c>
      <c r="Y7" s="2" t="s">
        <v>285</v>
      </c>
      <c r="Z7" s="1" t="s">
        <v>201</v>
      </c>
      <c r="AA7" s="1" t="s">
        <v>201</v>
      </c>
      <c r="AE7" s="1" t="s">
        <v>201</v>
      </c>
      <c r="AF7" s="1" t="s">
        <v>201</v>
      </c>
    </row>
    <row r="8" spans="1:32" x14ac:dyDescent="0.25">
      <c r="A8" s="1">
        <v>7</v>
      </c>
      <c r="D8" s="1" t="s">
        <v>201</v>
      </c>
      <c r="E8" s="1" t="s">
        <v>201</v>
      </c>
      <c r="I8" s="1" t="s">
        <v>201</v>
      </c>
      <c r="J8" s="1" t="s">
        <v>201</v>
      </c>
      <c r="M8" s="1" t="s">
        <v>201</v>
      </c>
      <c r="N8" s="1" t="s">
        <v>201</v>
      </c>
      <c r="Q8" s="1" t="s">
        <v>201</v>
      </c>
      <c r="R8" s="1" t="s">
        <v>201</v>
      </c>
      <c r="U8" s="2"/>
      <c r="V8" s="1" t="s">
        <v>201</v>
      </c>
      <c r="W8" s="1" t="s">
        <v>201</v>
      </c>
      <c r="Z8" s="1" t="s">
        <v>201</v>
      </c>
      <c r="AA8" s="1" t="s">
        <v>201</v>
      </c>
      <c r="AE8" s="1" t="s">
        <v>201</v>
      </c>
      <c r="AF8" s="1" t="s">
        <v>201</v>
      </c>
    </row>
    <row r="9" spans="1:32" x14ac:dyDescent="0.25">
      <c r="A9" s="1">
        <v>8</v>
      </c>
      <c r="C9" s="1">
        <v>6</v>
      </c>
      <c r="D9" s="1" t="s">
        <v>201</v>
      </c>
      <c r="E9" s="1" t="s">
        <v>201</v>
      </c>
      <c r="F9" s="1" t="b">
        <v>0</v>
      </c>
      <c r="G9" s="1" t="s">
        <v>298</v>
      </c>
      <c r="H9" s="1" t="s">
        <v>302</v>
      </c>
      <c r="I9" s="1" t="s">
        <v>201</v>
      </c>
      <c r="J9" s="1" t="s">
        <v>201</v>
      </c>
      <c r="M9" s="1" t="s">
        <v>201</v>
      </c>
      <c r="N9" s="1" t="s">
        <v>201</v>
      </c>
      <c r="Q9" s="1" t="s">
        <v>201</v>
      </c>
      <c r="R9" s="1" t="s">
        <v>201</v>
      </c>
      <c r="S9" s="2" t="s">
        <v>295</v>
      </c>
      <c r="U9" s="2"/>
      <c r="V9" s="1" t="s">
        <v>201</v>
      </c>
      <c r="W9" s="1" t="s">
        <v>201</v>
      </c>
      <c r="X9" s="2" t="s">
        <v>289</v>
      </c>
      <c r="Y9" s="1" t="s">
        <v>283</v>
      </c>
      <c r="Z9" s="1" t="s">
        <v>201</v>
      </c>
      <c r="AA9" s="1" t="s">
        <v>201</v>
      </c>
      <c r="AE9" s="1" t="s">
        <v>201</v>
      </c>
      <c r="AF9" s="1" t="s">
        <v>201</v>
      </c>
    </row>
    <row r="10" spans="1:32" x14ac:dyDescent="0.25">
      <c r="A10" s="1">
        <v>9</v>
      </c>
      <c r="C10" s="1">
        <v>7</v>
      </c>
      <c r="D10" s="1" t="s">
        <v>201</v>
      </c>
      <c r="E10" s="1" t="s">
        <v>201</v>
      </c>
      <c r="F10" s="1" t="b">
        <v>1</v>
      </c>
      <c r="G10" s="1" t="s">
        <v>300</v>
      </c>
      <c r="H10" s="1" t="s">
        <v>302</v>
      </c>
      <c r="I10" s="1" t="s">
        <v>201</v>
      </c>
      <c r="J10" s="1" t="s">
        <v>201</v>
      </c>
      <c r="M10" s="1" t="s">
        <v>201</v>
      </c>
      <c r="N10" s="1" t="s">
        <v>201</v>
      </c>
      <c r="Q10" s="1" t="s">
        <v>201</v>
      </c>
      <c r="R10" s="1" t="s">
        <v>201</v>
      </c>
      <c r="S10" s="2" t="s">
        <v>294</v>
      </c>
      <c r="U10" s="2"/>
      <c r="V10" s="1" t="s">
        <v>201</v>
      </c>
      <c r="W10" s="1" t="s">
        <v>201</v>
      </c>
      <c r="X10" s="2" t="s">
        <v>290</v>
      </c>
      <c r="Y10" s="1" t="s">
        <v>285</v>
      </c>
      <c r="Z10" s="1" t="s">
        <v>201</v>
      </c>
      <c r="AA10" s="1" t="s">
        <v>201</v>
      </c>
      <c r="AE10" s="1" t="s">
        <v>201</v>
      </c>
      <c r="AF10" s="1" t="s">
        <v>201</v>
      </c>
    </row>
    <row r="11" spans="1:32" x14ac:dyDescent="0.25">
      <c r="A11" s="1">
        <v>10</v>
      </c>
      <c r="C11" s="1">
        <v>5</v>
      </c>
      <c r="D11" s="1" t="s">
        <v>201</v>
      </c>
      <c r="E11" s="1" t="s">
        <v>201</v>
      </c>
      <c r="F11" s="1" t="b">
        <v>1</v>
      </c>
      <c r="G11" s="1" t="s">
        <v>300</v>
      </c>
      <c r="H11" s="1" t="s">
        <v>301</v>
      </c>
      <c r="I11" s="1" t="s">
        <v>201</v>
      </c>
      <c r="J11" s="1" t="s">
        <v>201</v>
      </c>
      <c r="M11" s="1" t="s">
        <v>201</v>
      </c>
      <c r="N11" s="1" t="s">
        <v>201</v>
      </c>
      <c r="Q11" s="1" t="s">
        <v>201</v>
      </c>
      <c r="R11" s="1" t="s">
        <v>201</v>
      </c>
      <c r="S11" s="2" t="s">
        <v>295</v>
      </c>
      <c r="U11" s="2"/>
      <c r="V11" s="1" t="s">
        <v>201</v>
      </c>
      <c r="W11" s="1" t="s">
        <v>201</v>
      </c>
      <c r="X11" s="2" t="s">
        <v>291</v>
      </c>
      <c r="Y11" s="1" t="s">
        <v>284</v>
      </c>
      <c r="Z11" s="1" t="s">
        <v>201</v>
      </c>
      <c r="AA11" s="1" t="s">
        <v>201</v>
      </c>
      <c r="AE11" s="1" t="s">
        <v>201</v>
      </c>
      <c r="AF11" s="1" t="s">
        <v>201</v>
      </c>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F11"/>
  <sheetViews>
    <sheetView workbookViewId="0">
      <pane xSplit="1" ySplit="1" topLeftCell="N2" activePane="bottomRight" state="frozen"/>
      <selection pane="topRight" activeCell="B1" sqref="B1"/>
      <selection pane="bottomLeft" activeCell="A2" sqref="A2"/>
      <selection pane="bottomRight" activeCell="S10" sqref="S10"/>
    </sheetView>
  </sheetViews>
  <sheetFormatPr defaultRowHeight="15.75" x14ac:dyDescent="0.25"/>
  <cols>
    <col min="1" max="1" width="8.625" style="1" bestFit="1" customWidth="1"/>
    <col min="2" max="2" width="16.25" style="1" bestFit="1" customWidth="1"/>
    <col min="3" max="3" width="30.5" style="1" bestFit="1" customWidth="1"/>
    <col min="4" max="5" width="24" style="1" bestFit="1" customWidth="1"/>
    <col min="6" max="6" width="15" style="1" bestFit="1" customWidth="1"/>
    <col min="7" max="8" width="13.75" style="1" bestFit="1" customWidth="1"/>
    <col min="9" max="10" width="21.5" style="1" bestFit="1" customWidth="1"/>
    <col min="11" max="12" width="13.75" style="1" bestFit="1" customWidth="1"/>
    <col min="13" max="14" width="21.5" style="1" bestFit="1" customWidth="1"/>
    <col min="15" max="16" width="12.375" style="1" bestFit="1" customWidth="1"/>
    <col min="17" max="18" width="20.125" style="1" bestFit="1" customWidth="1"/>
    <col min="19" max="19" width="11.125" style="1" bestFit="1" customWidth="1"/>
    <col min="20" max="21" width="16.25" style="1" bestFit="1" customWidth="1"/>
    <col min="22" max="23" width="24" style="1" bestFit="1" customWidth="1"/>
    <col min="24" max="24" width="13.75" style="1" bestFit="1" customWidth="1"/>
    <col min="25" max="25" width="20.125" style="1" bestFit="1" customWidth="1"/>
    <col min="26" max="27" width="21.5" style="1" bestFit="1" customWidth="1"/>
    <col min="28" max="29" width="17.625" style="1" bestFit="1" customWidth="1"/>
    <col min="30" max="30" width="17.625" style="3" bestFit="1" customWidth="1"/>
    <col min="31" max="32" width="25.25" style="1" bestFit="1" customWidth="1"/>
    <col min="33" max="34" width="26.625" style="1" bestFit="1" customWidth="1"/>
    <col min="35" max="16384" width="9" style="1"/>
  </cols>
  <sheetData>
    <row r="1" spans="1:32" x14ac:dyDescent="0.25">
      <c r="A1" s="1" t="s">
        <v>95</v>
      </c>
      <c r="B1" s="1" t="s">
        <v>127</v>
      </c>
      <c r="C1" s="1" t="s">
        <v>128</v>
      </c>
      <c r="D1" s="1" t="s">
        <v>129</v>
      </c>
      <c r="E1" s="1" t="s">
        <v>130</v>
      </c>
      <c r="F1" s="1" t="s">
        <v>131</v>
      </c>
      <c r="G1" s="1" t="s">
        <v>132</v>
      </c>
      <c r="H1" s="1" t="s">
        <v>133</v>
      </c>
      <c r="I1" s="1" t="s">
        <v>134</v>
      </c>
      <c r="J1" s="1" t="s">
        <v>135</v>
      </c>
      <c r="K1" s="1" t="s">
        <v>136</v>
      </c>
      <c r="L1" s="1" t="s">
        <v>137</v>
      </c>
      <c r="M1" s="1" t="s">
        <v>138</v>
      </c>
      <c r="N1" s="1" t="s">
        <v>139</v>
      </c>
      <c r="O1" s="1" t="s">
        <v>140</v>
      </c>
      <c r="P1" s="1" t="s">
        <v>141</v>
      </c>
      <c r="Q1" s="1" t="s">
        <v>142</v>
      </c>
      <c r="R1" s="1" t="s">
        <v>143</v>
      </c>
      <c r="S1" s="1" t="s">
        <v>144</v>
      </c>
      <c r="T1" s="1" t="s">
        <v>145</v>
      </c>
      <c r="U1" s="1" t="s">
        <v>146</v>
      </c>
      <c r="V1" s="1" t="s">
        <v>147</v>
      </c>
      <c r="W1" s="1" t="s">
        <v>148</v>
      </c>
      <c r="X1" s="1" t="s">
        <v>149</v>
      </c>
      <c r="Y1" s="1" t="s">
        <v>150</v>
      </c>
      <c r="Z1" s="1" t="s">
        <v>151</v>
      </c>
      <c r="AA1" s="1" t="s">
        <v>152</v>
      </c>
      <c r="AB1" s="1" t="s">
        <v>153</v>
      </c>
      <c r="AC1" s="1" t="s">
        <v>154</v>
      </c>
      <c r="AD1" s="3" t="s">
        <v>155</v>
      </c>
      <c r="AE1" s="1" t="s">
        <v>156</v>
      </c>
      <c r="AF1" s="1" t="s">
        <v>157</v>
      </c>
    </row>
    <row r="2" spans="1:32" x14ac:dyDescent="0.25">
      <c r="A2" s="1">
        <v>1</v>
      </c>
      <c r="C2" s="1">
        <v>8</v>
      </c>
      <c r="D2" s="1" t="s">
        <v>201</v>
      </c>
      <c r="E2" s="1" t="s">
        <v>201</v>
      </c>
      <c r="F2" s="1" t="b">
        <v>0</v>
      </c>
      <c r="G2" s="1" t="s">
        <v>304</v>
      </c>
      <c r="H2" s="1" t="s">
        <v>306</v>
      </c>
      <c r="I2" s="1" t="s">
        <v>201</v>
      </c>
      <c r="J2" s="1" t="s">
        <v>201</v>
      </c>
      <c r="M2" s="1" t="s">
        <v>201</v>
      </c>
      <c r="N2" s="1" t="s">
        <v>201</v>
      </c>
      <c r="Q2" s="1" t="s">
        <v>201</v>
      </c>
      <c r="R2" s="1" t="s">
        <v>201</v>
      </c>
      <c r="S2" s="2" t="s">
        <v>296</v>
      </c>
      <c r="U2" s="2"/>
      <c r="V2" s="1" t="s">
        <v>201</v>
      </c>
      <c r="W2" s="1" t="s">
        <v>201</v>
      </c>
      <c r="X2" s="2" t="s">
        <v>292</v>
      </c>
      <c r="Y2" s="2" t="s">
        <v>286</v>
      </c>
      <c r="Z2" s="1" t="s">
        <v>201</v>
      </c>
      <c r="AA2" s="1" t="s">
        <v>201</v>
      </c>
      <c r="AE2" s="1" t="s">
        <v>201</v>
      </c>
      <c r="AF2" s="1" t="s">
        <v>201</v>
      </c>
    </row>
    <row r="3" spans="1:32" x14ac:dyDescent="0.25">
      <c r="A3" s="1">
        <v>2</v>
      </c>
      <c r="C3" s="1">
        <v>9</v>
      </c>
      <c r="D3" s="1" t="s">
        <v>201</v>
      </c>
      <c r="E3" s="1" t="s">
        <v>201</v>
      </c>
      <c r="F3" s="1" t="b">
        <v>1</v>
      </c>
      <c r="G3" s="1" t="s">
        <v>171</v>
      </c>
      <c r="H3" s="1" t="s">
        <v>307</v>
      </c>
      <c r="I3" s="1" t="s">
        <v>201</v>
      </c>
      <c r="J3" s="1" t="s">
        <v>201</v>
      </c>
      <c r="M3" s="1" t="s">
        <v>201</v>
      </c>
      <c r="N3" s="1" t="s">
        <v>201</v>
      </c>
      <c r="Q3" s="1" t="s">
        <v>201</v>
      </c>
      <c r="R3" s="1" t="s">
        <v>201</v>
      </c>
      <c r="S3" s="2" t="s">
        <v>297</v>
      </c>
      <c r="U3" s="2"/>
      <c r="V3" s="1" t="s">
        <v>201</v>
      </c>
      <c r="W3" s="1" t="s">
        <v>201</v>
      </c>
      <c r="X3" s="2" t="s">
        <v>234</v>
      </c>
      <c r="Y3" s="2" t="s">
        <v>287</v>
      </c>
      <c r="Z3" s="1" t="s">
        <v>201</v>
      </c>
      <c r="AA3" s="1" t="s">
        <v>201</v>
      </c>
      <c r="AE3" s="1" t="s">
        <v>201</v>
      </c>
      <c r="AF3" s="1" t="s">
        <v>201</v>
      </c>
    </row>
    <row r="4" spans="1:32" x14ac:dyDescent="0.25">
      <c r="A4" s="1">
        <v>3</v>
      </c>
      <c r="C4" s="1">
        <v>8</v>
      </c>
      <c r="D4" s="1" t="s">
        <v>201</v>
      </c>
      <c r="E4" s="1" t="s">
        <v>201</v>
      </c>
      <c r="F4" s="1" t="b">
        <v>1</v>
      </c>
      <c r="G4" s="1" t="s">
        <v>304</v>
      </c>
      <c r="H4" s="1" t="s">
        <v>168</v>
      </c>
      <c r="I4" s="1" t="s">
        <v>201</v>
      </c>
      <c r="J4" s="1" t="s">
        <v>201</v>
      </c>
      <c r="M4" s="1" t="s">
        <v>201</v>
      </c>
      <c r="N4" s="1" t="s">
        <v>201</v>
      </c>
      <c r="Q4" s="1" t="s">
        <v>201</v>
      </c>
      <c r="R4" s="1" t="s">
        <v>201</v>
      </c>
      <c r="S4" s="2" t="s">
        <v>297</v>
      </c>
      <c r="U4" s="2"/>
      <c r="V4" s="1" t="s">
        <v>201</v>
      </c>
      <c r="W4" s="1" t="s">
        <v>201</v>
      </c>
      <c r="X4" s="2" t="s">
        <v>293</v>
      </c>
      <c r="Y4" s="2" t="s">
        <v>288</v>
      </c>
      <c r="Z4" s="1" t="s">
        <v>201</v>
      </c>
      <c r="AA4" s="1" t="s">
        <v>201</v>
      </c>
      <c r="AE4" s="1" t="s">
        <v>201</v>
      </c>
      <c r="AF4" s="1" t="s">
        <v>201</v>
      </c>
    </row>
    <row r="5" spans="1:32" x14ac:dyDescent="0.25">
      <c r="A5" s="1">
        <v>4</v>
      </c>
      <c r="C5" s="1">
        <v>9</v>
      </c>
      <c r="D5" s="1" t="s">
        <v>201</v>
      </c>
      <c r="E5" s="1" t="s">
        <v>201</v>
      </c>
      <c r="F5" s="1" t="b">
        <v>0</v>
      </c>
      <c r="G5" s="1" t="s">
        <v>171</v>
      </c>
      <c r="H5" s="1" t="s">
        <v>170</v>
      </c>
      <c r="I5" s="1" t="s">
        <v>201</v>
      </c>
      <c r="J5" s="1" t="s">
        <v>201</v>
      </c>
      <c r="M5" s="1" t="s">
        <v>201</v>
      </c>
      <c r="N5" s="1" t="s">
        <v>201</v>
      </c>
      <c r="Q5" s="1" t="s">
        <v>201</v>
      </c>
      <c r="R5" s="1" t="s">
        <v>201</v>
      </c>
      <c r="S5" s="2" t="s">
        <v>296</v>
      </c>
      <c r="U5" s="2"/>
      <c r="V5" s="1" t="s">
        <v>201</v>
      </c>
      <c r="W5" s="1" t="s">
        <v>201</v>
      </c>
      <c r="X5" s="2" t="s">
        <v>234</v>
      </c>
      <c r="Y5" s="2" t="s">
        <v>286</v>
      </c>
      <c r="Z5" s="1" t="s">
        <v>201</v>
      </c>
      <c r="AA5" s="1" t="s">
        <v>201</v>
      </c>
      <c r="AE5" s="1" t="s">
        <v>201</v>
      </c>
      <c r="AF5" s="1" t="s">
        <v>201</v>
      </c>
    </row>
    <row r="6" spans="1:32" x14ac:dyDescent="0.25">
      <c r="A6" s="1">
        <v>5</v>
      </c>
      <c r="C6" s="1">
        <v>9</v>
      </c>
      <c r="D6" s="1" t="s">
        <v>201</v>
      </c>
      <c r="E6" s="1" t="s">
        <v>201</v>
      </c>
      <c r="F6" s="1" t="b">
        <v>1</v>
      </c>
      <c r="G6" s="1" t="s">
        <v>304</v>
      </c>
      <c r="H6" s="1" t="s">
        <v>168</v>
      </c>
      <c r="I6" s="1" t="s">
        <v>201</v>
      </c>
      <c r="J6" s="1" t="s">
        <v>201</v>
      </c>
      <c r="M6" s="1" t="s">
        <v>201</v>
      </c>
      <c r="N6" s="1" t="s">
        <v>201</v>
      </c>
      <c r="Q6" s="1" t="s">
        <v>201</v>
      </c>
      <c r="R6" s="1" t="s">
        <v>201</v>
      </c>
      <c r="S6" s="2" t="s">
        <v>296</v>
      </c>
      <c r="U6" s="2"/>
      <c r="V6" s="1" t="s">
        <v>201</v>
      </c>
      <c r="W6" s="1" t="s">
        <v>201</v>
      </c>
      <c r="X6" s="2" t="s">
        <v>293</v>
      </c>
      <c r="Y6" s="2" t="s">
        <v>287</v>
      </c>
      <c r="Z6" s="1" t="s">
        <v>201</v>
      </c>
      <c r="AA6" s="1" t="s">
        <v>201</v>
      </c>
      <c r="AE6" s="1" t="s">
        <v>201</v>
      </c>
      <c r="AF6" s="1" t="s">
        <v>201</v>
      </c>
    </row>
    <row r="7" spans="1:32" x14ac:dyDescent="0.25">
      <c r="A7" s="1">
        <v>6</v>
      </c>
      <c r="C7" s="1">
        <v>9</v>
      </c>
      <c r="D7" s="1" t="s">
        <v>201</v>
      </c>
      <c r="E7" s="1" t="s">
        <v>201</v>
      </c>
      <c r="F7" s="1" t="b">
        <v>1</v>
      </c>
      <c r="G7" s="1" t="s">
        <v>171</v>
      </c>
      <c r="H7" s="1" t="s">
        <v>306</v>
      </c>
      <c r="I7" s="1" t="s">
        <v>201</v>
      </c>
      <c r="J7" s="1" t="s">
        <v>201</v>
      </c>
      <c r="M7" s="1" t="s">
        <v>201</v>
      </c>
      <c r="N7" s="1" t="s">
        <v>201</v>
      </c>
      <c r="Q7" s="1" t="s">
        <v>201</v>
      </c>
      <c r="R7" s="1" t="s">
        <v>201</v>
      </c>
      <c r="S7" s="2" t="s">
        <v>297</v>
      </c>
      <c r="U7" s="2"/>
      <c r="V7" s="1" t="s">
        <v>201</v>
      </c>
      <c r="W7" s="1" t="s">
        <v>201</v>
      </c>
      <c r="X7" s="2" t="s">
        <v>292</v>
      </c>
      <c r="Y7" s="2" t="s">
        <v>288</v>
      </c>
      <c r="Z7" s="1" t="s">
        <v>201</v>
      </c>
      <c r="AA7" s="1" t="s">
        <v>201</v>
      </c>
      <c r="AE7" s="1" t="s">
        <v>201</v>
      </c>
      <c r="AF7" s="1" t="s">
        <v>201</v>
      </c>
    </row>
    <row r="8" spans="1:32" x14ac:dyDescent="0.25">
      <c r="A8" s="1">
        <v>7</v>
      </c>
      <c r="D8" s="1" t="s">
        <v>201</v>
      </c>
      <c r="E8" s="1" t="s">
        <v>201</v>
      </c>
      <c r="I8" s="1" t="s">
        <v>201</v>
      </c>
      <c r="J8" s="1" t="s">
        <v>201</v>
      </c>
      <c r="M8" s="1" t="s">
        <v>201</v>
      </c>
      <c r="N8" s="1" t="s">
        <v>201</v>
      </c>
      <c r="Q8" s="1" t="s">
        <v>201</v>
      </c>
      <c r="R8" s="1" t="s">
        <v>201</v>
      </c>
      <c r="U8" s="2"/>
      <c r="V8" s="1" t="s">
        <v>201</v>
      </c>
      <c r="W8" s="1" t="s">
        <v>201</v>
      </c>
      <c r="Z8" s="1" t="s">
        <v>201</v>
      </c>
      <c r="AA8" s="1" t="s">
        <v>201</v>
      </c>
      <c r="AE8" s="1" t="s">
        <v>201</v>
      </c>
      <c r="AF8" s="1" t="s">
        <v>201</v>
      </c>
    </row>
    <row r="9" spans="1:32" x14ac:dyDescent="0.25">
      <c r="A9" s="1">
        <v>8</v>
      </c>
      <c r="C9" s="1">
        <v>8</v>
      </c>
      <c r="D9" s="1" t="s">
        <v>201</v>
      </c>
      <c r="E9" s="1" t="s">
        <v>201</v>
      </c>
      <c r="F9" s="1" t="b">
        <v>0</v>
      </c>
      <c r="G9" s="1" t="s">
        <v>305</v>
      </c>
      <c r="H9" s="1" t="s">
        <v>307</v>
      </c>
      <c r="I9" s="1" t="s">
        <v>201</v>
      </c>
      <c r="J9" s="1" t="s">
        <v>201</v>
      </c>
      <c r="M9" s="1" t="s">
        <v>201</v>
      </c>
      <c r="N9" s="1" t="s">
        <v>201</v>
      </c>
      <c r="Q9" s="1" t="s">
        <v>201</v>
      </c>
      <c r="R9" s="1" t="s">
        <v>201</v>
      </c>
      <c r="S9" s="2" t="s">
        <v>297</v>
      </c>
      <c r="U9" s="2"/>
      <c r="V9" s="1" t="s">
        <v>201</v>
      </c>
      <c r="W9" s="1" t="s">
        <v>201</v>
      </c>
      <c r="X9" s="1" t="s">
        <v>292</v>
      </c>
      <c r="Y9" s="2" t="s">
        <v>286</v>
      </c>
      <c r="Z9" s="1" t="s">
        <v>201</v>
      </c>
      <c r="AA9" s="1" t="s">
        <v>201</v>
      </c>
      <c r="AE9" s="1" t="s">
        <v>201</v>
      </c>
      <c r="AF9" s="1" t="s">
        <v>201</v>
      </c>
    </row>
    <row r="10" spans="1:32" x14ac:dyDescent="0.25">
      <c r="A10" s="1">
        <v>9</v>
      </c>
      <c r="C10" s="1">
        <v>8</v>
      </c>
      <c r="D10" s="1" t="s">
        <v>201</v>
      </c>
      <c r="E10" s="1" t="s">
        <v>201</v>
      </c>
      <c r="F10" s="1" t="b">
        <v>1</v>
      </c>
      <c r="G10" s="1" t="s">
        <v>305</v>
      </c>
      <c r="H10" s="1" t="s">
        <v>306</v>
      </c>
      <c r="I10" s="1" t="s">
        <v>201</v>
      </c>
      <c r="J10" s="1" t="s">
        <v>201</v>
      </c>
      <c r="M10" s="1" t="s">
        <v>201</v>
      </c>
      <c r="N10" s="1" t="s">
        <v>201</v>
      </c>
      <c r="Q10" s="1" t="s">
        <v>201</v>
      </c>
      <c r="R10" s="1" t="s">
        <v>201</v>
      </c>
      <c r="S10" s="2" t="s">
        <v>296</v>
      </c>
      <c r="U10" s="2"/>
      <c r="V10" s="1" t="s">
        <v>201</v>
      </c>
      <c r="W10" s="1" t="s">
        <v>201</v>
      </c>
      <c r="X10" s="1" t="s">
        <v>293</v>
      </c>
      <c r="Y10" s="2" t="s">
        <v>287</v>
      </c>
      <c r="Z10" s="1" t="s">
        <v>201</v>
      </c>
      <c r="AA10" s="1" t="s">
        <v>201</v>
      </c>
      <c r="AE10" s="1" t="s">
        <v>201</v>
      </c>
      <c r="AF10" s="1" t="s">
        <v>201</v>
      </c>
    </row>
    <row r="11" spans="1:32" x14ac:dyDescent="0.25">
      <c r="A11" s="1">
        <v>10</v>
      </c>
      <c r="C11" s="1">
        <v>9</v>
      </c>
      <c r="D11" s="1" t="s">
        <v>201</v>
      </c>
      <c r="E11" s="1" t="s">
        <v>201</v>
      </c>
      <c r="F11" s="1" t="b">
        <v>1</v>
      </c>
      <c r="G11" s="1" t="s">
        <v>171</v>
      </c>
      <c r="H11" s="1" t="s">
        <v>170</v>
      </c>
      <c r="I11" s="1" t="s">
        <v>201</v>
      </c>
      <c r="J11" s="1" t="s">
        <v>201</v>
      </c>
      <c r="M11" s="1" t="s">
        <v>201</v>
      </c>
      <c r="N11" s="1" t="s">
        <v>201</v>
      </c>
      <c r="Q11" s="1" t="s">
        <v>201</v>
      </c>
      <c r="R11" s="1" t="s">
        <v>201</v>
      </c>
      <c r="S11" s="2" t="s">
        <v>297</v>
      </c>
      <c r="U11" s="2"/>
      <c r="V11" s="1" t="s">
        <v>201</v>
      </c>
      <c r="W11" s="1" t="s">
        <v>201</v>
      </c>
      <c r="X11" s="1" t="s">
        <v>293</v>
      </c>
      <c r="Y11" s="2" t="s">
        <v>288</v>
      </c>
      <c r="Z11" s="1" t="s">
        <v>201</v>
      </c>
      <c r="AA11" s="1" t="s">
        <v>201</v>
      </c>
      <c r="AE11" s="1" t="s">
        <v>201</v>
      </c>
      <c r="AF11" s="1" t="s">
        <v>201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SQL_stuff</vt:lpstr>
      <vt:lpstr>data</vt:lpstr>
      <vt:lpstr>var</vt:lpstr>
      <vt:lpstr>vol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Terry Spotts</cp:lastModifiedBy>
  <dcterms:created xsi:type="dcterms:W3CDTF">2017-01-18T19:14:51Z</dcterms:created>
  <dcterms:modified xsi:type="dcterms:W3CDTF">2017-01-30T20:40:27Z</dcterms:modified>
</cp:coreProperties>
</file>